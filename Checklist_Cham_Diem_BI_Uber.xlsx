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Checklist" sheetId="2" state="visible" r:id="rId4"/>
  </sheets>
  <definedNames>
    <definedName function="false" hidden="true" localSheetId="1" name="_xlnm._FilterDatabase" vbProcedure="false">Checklist!$A$4:$J$58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<sst xmlns="http://schemas.openxmlformats.org/spreadsheetml/2006/main" count="513" uniqueCount="258">
  <si>
    <t xml:space="preserve">Tổng quan tiến độ – Project BI Uber NCR</t>
  </si>
  <si>
    <t xml:space="preserve">Công cụ tự đánh giá nội bộ theo BIprojectRequirements2026.docx. Không phải thang điểm chính thức của giảng viên.</t>
  </si>
  <si>
    <t xml:space="preserve">Cách dùng</t>
  </si>
  <si>
    <t xml:space="preserve">• Cập nhật ở sheet Checklist, các cột nền vàng nhạt chữ xanh: Người phụ trách, Tuần, Trạng thái, Ghi chú. Sheet này tự tính lại.</t>
  </si>
  <si>
    <t xml:space="preserve">• Ví dụ cách điền: Người phụ trách = A; Tuần = 2; Trạng thái = Đang làm. Nếu đổi tên A/B, hãy sửa cả ô tên ở bảng 'Theo người' bên dưới.</t>
  </si>
  <si>
    <t xml:space="preserve">• Ô chữ xanh nền vàng nhạt ở bảng 'Mốc điểm' là ngưỡng do nhóm tự đặt (giả định), có thể chỉnh.</t>
  </si>
  <si>
    <t xml:space="preserve">1. Mốc điểm theo đề và chỉ báo nội bộ</t>
  </si>
  <si>
    <t xml:space="preserve">Điều kiện trong đề</t>
  </si>
  <si>
    <t xml:space="preserve">Hệ quả theo đề</t>
  </si>
  <si>
    <t xml:space="preserve">Chỉ báo nội bộ (số mục Hoàn thành)</t>
  </si>
  <si>
    <t xml:space="preserve">Hiện tại</t>
  </si>
  <si>
    <t xml:space="preserve">Ngưỡng nhóm đặt</t>
  </si>
  <si>
    <t xml:space="preserve">Kết luận</t>
  </si>
  <si>
    <t xml:space="preserve">Chỉ dùng kiến thức bài thực hành</t>
  </si>
  <si>
    <t xml:space="preserve">Điểm tối đa 5</t>
  </si>
  <si>
    <t xml:space="preserve">Mục độ phức tạp ETL/mô hình/DAX hoàn thành</t>
  </si>
  <si>
    <t xml:space="preserve">Chưa đối chiếu kỹ thuật vượt bài thực hành</t>
  </si>
  <si>
    <t xml:space="preserve">Mục V (đối chiếu và nêu trong slide)</t>
  </si>
  <si>
    <t xml:space="preserve">Chỉ có ETL và dashboard, thiếu khuyến nghị hợp lý</t>
  </si>
  <si>
    <t xml:space="preserve">Điểm tối đa 7</t>
  </si>
  <si>
    <t xml:space="preserve">Mục khuyến nghị hoàn thành</t>
  </si>
  <si>
    <t xml:space="preserve">Số lượng dashboard (trọng số quan trọng)</t>
  </si>
  <si>
    <t xml:space="preserve">Ảnh hưởng điểm</t>
  </si>
  <si>
    <t xml:space="preserve">Dashboard hoàn thành</t>
  </si>
  <si>
    <t xml:space="preserve">Dùng học máy, khai phá</t>
  </si>
  <si>
    <t xml:space="preserve">Cộng điểm</t>
  </si>
  <si>
    <t xml:space="preserve">Mục học máy hoàn thành</t>
  </si>
  <si>
    <t xml:space="preserve">Nộp đủ sản phẩm</t>
  </si>
  <si>
    <t xml:space="preserve">Bắt buộc nộp</t>
  </si>
  <si>
    <t xml:space="preserve">Mục nộp bài hoàn thành</t>
  </si>
  <si>
    <t xml:space="preserve">Chỉ báo chỉ phản ánh tiến độ nhóm đã hoàn thành các mục trong checklist, không phải điểm thực. Ngưỡng là giả định của người lập (đề không nêu số cụ thể).</t>
  </si>
  <si>
    <t xml:space="preserve">2. Tiến độ theo nhóm</t>
  </si>
  <si>
    <t xml:space="preserve">Nhóm</t>
  </si>
  <si>
    <t xml:space="preserve">Tổng mục</t>
  </si>
  <si>
    <t xml:space="preserve">Hoàn thành</t>
  </si>
  <si>
    <t xml:space="preserve">Đang làm</t>
  </si>
  <si>
    <t xml:space="preserve">Cần xem lại</t>
  </si>
  <si>
    <t xml:space="preserve">Chưa làm</t>
  </si>
  <si>
    <t xml:space="preserve">% hoàn thành</t>
  </si>
  <si>
    <t xml:space="preserve">0. Tổ chức &amp; dữ liệu</t>
  </si>
  <si>
    <t xml:space="preserve">1. ETL (ngôn ngữ M)</t>
  </si>
  <si>
    <t xml:space="preserve">2. Mô hình dữ liệu</t>
  </si>
  <si>
    <t xml:space="preserve">3. DAX &amp; KPI</t>
  </si>
  <si>
    <t xml:space="preserve">4. Dashboard</t>
  </si>
  <si>
    <t xml:space="preserve">5. Khuyến nghị (Actions)</t>
  </si>
  <si>
    <t xml:space="preserve">6. Học máy / khai phá</t>
  </si>
  <si>
    <t xml:space="preserve">7. Vượt bài thực hành</t>
  </si>
  <si>
    <t xml:space="preserve">8. Sản phẩm nộp &amp; chấm</t>
  </si>
  <si>
    <t xml:space="preserve">Tổng</t>
  </si>
  <si>
    <t xml:space="preserve">3. Theo người phụ trách</t>
  </si>
  <si>
    <t xml:space="preserve">Người phụ trách</t>
  </si>
  <si>
    <t xml:space="preserve">A</t>
  </si>
  <si>
    <t xml:space="preserve">B</t>
  </si>
  <si>
    <t xml:space="preserve">Cả hai</t>
  </si>
  <si>
    <t xml:space="preserve">4. Theo tuần dự kiến</t>
  </si>
  <si>
    <t xml:space="preserve">Tuần</t>
  </si>
  <si>
    <t xml:space="preserve">Số mục dự kiến</t>
  </si>
  <si>
    <t xml:space="preserve">Checklist chấm điểm – Project BI Uber NCR</t>
  </si>
  <si>
    <t xml:space="preserve">Căn cứ: BIprojectRequirements2026.docx. Cột G, H, I, J có nền vàng nhạt là ô để nhóm cập nhật.</t>
  </si>
  <si>
    <t xml:space="preserve">Mã</t>
  </si>
  <si>
    <t xml:space="preserve">Tiêu chí</t>
  </si>
  <si>
    <t xml:space="preserve">Căn cứ trong đề</t>
  </si>
  <si>
    <t xml:space="preserve">Bằng chứng cần có</t>
  </si>
  <si>
    <t xml:space="preserve">Tuần (1-8)</t>
  </si>
  <si>
    <t xml:space="preserve">Trạng thái</t>
  </si>
  <si>
    <t xml:space="preserve">Ghi chú</t>
  </si>
  <si>
    <t xml:space="preserve">T01</t>
  </si>
  <si>
    <t xml:space="preserve">Xác nhận với giảng viên rằng nhóm 2 người được phép và cách chấm nhóm</t>
  </si>
  <si>
    <t xml:space="preserve">Cách triển khai: nhóm &gt;1 người chỉ khi lớp từ 27 sinh viên</t>
  </si>
  <si>
    <t xml:space="preserve">Nền tảng / điều kiện</t>
  </si>
  <si>
    <t xml:space="preserve">Tin nhắn/email xác nhận của giảng viên</t>
  </si>
  <si>
    <t xml:space="preserve">T02</t>
  </si>
  <si>
    <t xml:space="preserve">Dataset hợp lệ, ghi rõ nguồn (Kaggle, data.world hoặc nguồn phù hợp)</t>
  </si>
  <si>
    <t xml:space="preserve">Tập dữ liệu</t>
  </si>
  <si>
    <t xml:space="preserve">Trang nguồn + mô tả dataset trong slide</t>
  </si>
  <si>
    <t xml:space="preserve">T03</t>
  </si>
  <si>
    <t xml:space="preserve">Báo cáo profiling và Data Quality Log hoàn chỉnh</t>
  </si>
  <si>
    <t xml:space="preserve">Hỗ trợ độ phức tạp ETL</t>
  </si>
  <si>
    <t xml:space="preserve">Log ≥7 vấn đề, mỗi vấn đề có cách xử lý</t>
  </si>
  <si>
    <t xml:space="preserve">T04</t>
  </si>
  <si>
    <t xml:space="preserve">Câu hỏi kinh doanh, từ điển KPI và Decision Log</t>
  </si>
  <si>
    <t xml:space="preserve">Báo cáo thể hiện hiểu bài toán; KPI đúng nghiệp vụ</t>
  </si>
  <si>
    <t xml:space="preserve">3 câu hỏi chính, mỗi KPI có công thức và mẫu số</t>
  </si>
  <si>
    <t xml:space="preserve">E01</t>
  </si>
  <si>
    <t xml:space="preserve">ETL thực hiện bằng Power Query / ngôn ngữ M</t>
  </si>
  <si>
    <t xml:space="preserve">Có ETL bằng ngôn ngữ M</t>
  </si>
  <si>
    <t xml:space="preserve">Bắt buộc theo đề</t>
  </si>
  <si>
    <t xml:space="preserve">Applied Steps + chụp Advanced Editor</t>
  </si>
  <si>
    <t xml:space="preserve">E02</t>
  </si>
  <si>
    <t xml:space="preserve">Làm sạch: bỏ dấu nháy trong ID, ép kiểu, ghép Date + Time thành DateTime</t>
  </si>
  <si>
    <t xml:space="preserve">Độ phức tạp ETL</t>
  </si>
  <si>
    <t xml:space="preserve">Độ phức tạp (trọng số cao)</t>
  </si>
  <si>
    <t xml:space="preserve">Bước làm sạch trong query Fact_Booking</t>
  </si>
  <si>
    <t xml:space="preserve">E03</t>
  </si>
  <si>
    <t xml:space="preserve">Tạo khoá thay thế cho 1.233 Booking ID bị trùng</t>
  </si>
  <si>
    <t xml:space="preserve">Cột khóa mới + kiểm tra không trùng</t>
  </si>
  <si>
    <t xml:space="preserve">E04</t>
  </si>
  <si>
    <t xml:space="preserve">Unpivot 3 cột lý do thành Dim_Reason, gán nhóm nguyên nhân bằng bảng ánh xạ</t>
  </si>
  <si>
    <t xml:space="preserve">Dim_Reason + bảng ánh xạ nhóm</t>
  </si>
  <si>
    <t xml:space="preserve">E05</t>
  </si>
  <si>
    <t xml:space="preserve">Dim_Date và Dim_Time (khung giờ) tạo bằng M</t>
  </si>
  <si>
    <t xml:space="preserve">Hai bảng chiều thời gian</t>
  </si>
  <si>
    <t xml:space="preserve">E06</t>
  </si>
  <si>
    <t xml:space="preserve">Dim_Location dùng cho điểm đón và điểm trả, phân nhóm khu vực</t>
  </si>
  <si>
    <t xml:space="preserve">Dim_Location + cột khu vực</t>
  </si>
  <si>
    <t xml:space="preserve">E07</t>
  </si>
  <si>
    <t xml:space="preserve">Cột phái sinh: giá/km, nhóm giá, nhóm quãng đường, cờ giá/km bất thường</t>
  </si>
  <si>
    <t xml:space="preserve">Cột trong Fact_Booking</t>
  </si>
  <si>
    <t xml:space="preserve">E08</t>
  </si>
  <si>
    <t xml:space="preserve">Ít nhất 1 custom function M (ví dụ phân khung giờ, chuẩn hoá lý do)</t>
  </si>
  <si>
    <t xml:space="preserve">Hàm M được gọi lại ở ≥2 chỗ</t>
  </si>
  <si>
    <t xml:space="preserve">E09</t>
  </si>
  <si>
    <t xml:space="preserve">Kiểm tra sau ETL: tổng số dòng 150.000, doanh thu chuyến Completed khớp số đối chiếu</t>
  </si>
  <si>
    <t xml:space="preserve">Chất lượng ETL</t>
  </si>
  <si>
    <t xml:space="preserve">Bảng đối chiếu trước/sau ETL</t>
  </si>
  <si>
    <t xml:space="preserve">M01</t>
  </si>
  <si>
    <t xml:space="preserve">Chọn và vẽ sơ đồ mô hình (star, snowflake hoặc constellation)</t>
  </si>
  <si>
    <t xml:space="preserve">Có data model theo star/snowflake/constellation</t>
  </si>
  <si>
    <t xml:space="preserve">Ảnh Model view + giải thích lựa chọn</t>
  </si>
  <si>
    <t xml:space="preserve">M02</t>
  </si>
  <si>
    <t xml:space="preserve">Fact_Booking (1 dòng = 1 booking) và Fact_Reason</t>
  </si>
  <si>
    <t xml:space="preserve">Thiết kế mô hình</t>
  </si>
  <si>
    <t xml:space="preserve">Mô tả grain của từng bảng fact</t>
  </si>
  <si>
    <t xml:space="preserve">M03</t>
  </si>
  <si>
    <t xml:space="preserve">Quan hệ đúng (một-nhiều, hướng lọc), ẩn cột khoá, đặt tên rõ ràng</t>
  </si>
  <si>
    <t xml:space="preserve">Model view sạch, không quan hệ thừa</t>
  </si>
  <si>
    <t xml:space="preserve">M04</t>
  </si>
  <si>
    <t xml:space="preserve">Role-playing Location (đón/trả) với quan hệ không hoạt động + USERELATIONSHIP</t>
  </si>
  <si>
    <t xml:space="preserve">Độ phức tạp thiết kế</t>
  </si>
  <si>
    <t xml:space="preserve">Measure theo điểm đón và điểm trả</t>
  </si>
  <si>
    <t xml:space="preserve">M05</t>
  </si>
  <si>
    <t xml:space="preserve">Bảng tham số cho what-if</t>
  </si>
  <si>
    <t xml:space="preserve">Slicer what-if hoạt động</t>
  </si>
  <si>
    <t xml:space="preserve">D01</t>
  </si>
  <si>
    <t xml:space="preserve">Có measure DAX phục vụ báo cáo</t>
  </si>
  <si>
    <t xml:space="preserve">Có sử dụng DAX</t>
  </si>
  <si>
    <t xml:space="preserve">Bảng _Measures</t>
  </si>
  <si>
    <t xml:space="preserve">D02</t>
  </si>
  <si>
    <t xml:space="preserve">KPI đúng nghiệp vụ: Completion, Cancel, No-Driver rate, Revenue, AOV</t>
  </si>
  <si>
    <t xml:space="preserve">KPI/measure đúng với nghiệp vụ</t>
  </si>
  <si>
    <t xml:space="preserve">Khớp từ điển KPI, đối chiếu với số tính độc lập</t>
  </si>
  <si>
    <t xml:space="preserve">D03</t>
  </si>
  <si>
    <t xml:space="preserve">Time intelligence: MoM, rolling 7 và 30 ngày, MTD/YTD</t>
  </si>
  <si>
    <t xml:space="preserve">Độ phức tạp độ đo</t>
  </si>
  <si>
    <t xml:space="preserve">Measure + biểu đồ xu hướng</t>
  </si>
  <si>
    <t xml:space="preserve">D04</t>
  </si>
  <si>
    <t xml:space="preserve">Revenue at Risk và what-if giảm tỷ lệ tài xế huỷ</t>
  </si>
  <si>
    <t xml:space="preserve">Measure có ghi rõ giả định</t>
  </si>
  <si>
    <t xml:space="preserve">D05</t>
  </si>
  <si>
    <t xml:space="preserve">Giới hạn funnel plot (±3σ) cho tỷ lệ huỷ theo địa điểm</t>
  </si>
  <si>
    <t xml:space="preserve">Measure giới hạn trên/dưới</t>
  </si>
  <si>
    <t xml:space="preserve">D06</t>
  </si>
  <si>
    <t xml:space="preserve">Measure nâng cao khác: Pareto, Top N động, field parameter</t>
  </si>
  <si>
    <t xml:space="preserve">Ít nhất 2 kỹ thuật</t>
  </si>
  <si>
    <t xml:space="preserve">D07</t>
  </si>
  <si>
    <t xml:space="preserve">Đối chiếu measure với số tính độc lập (Python hoặc Power Query)</t>
  </si>
  <si>
    <t xml:space="preserve">KPI đúng nghiệp vụ</t>
  </si>
  <si>
    <t xml:space="preserve">Bảng đối chiếu sai lệch ≈ 0</t>
  </si>
  <si>
    <t xml:space="preserve">D08</t>
  </si>
  <si>
    <t xml:space="preserve">Tổ chức measure: folder hiển thị, định dạng số, mô tả</t>
  </si>
  <si>
    <t xml:space="preserve">Chất lượng thiết kế</t>
  </si>
  <si>
    <t xml:space="preserve">Model sạch, dễ đọc</t>
  </si>
  <si>
    <t xml:space="preserve">B01</t>
  </si>
  <si>
    <t xml:space="preserve">Dashboard 1: Executive Overview</t>
  </si>
  <si>
    <t xml:space="preserve">Báo cáo có ý nghĩa; số lượng dashboard là trọng số</t>
  </si>
  <si>
    <t xml:space="preserve">Số lượng dashboard (trọng số cao)</t>
  </si>
  <si>
    <t xml:space="preserve">Trả lời câu hỏi KPI tổng thể</t>
  </si>
  <si>
    <t xml:space="preserve">B02</t>
  </si>
  <si>
    <t xml:space="preserve">Dashboard 2: Demand &amp; Peak Hour</t>
  </si>
  <si>
    <t xml:space="preserve">Heatmap giờ × thứ, khung giờ</t>
  </si>
  <si>
    <t xml:space="preserve">B03</t>
  </si>
  <si>
    <t xml:space="preserve">Dashboard 3: Failure Root Cause</t>
  </si>
  <si>
    <t xml:space="preserve">Lý do huỷ phía khách và phía tài xế</t>
  </si>
  <si>
    <t xml:space="preserve">B04</t>
  </si>
  <si>
    <t xml:space="preserve">Dashboard 4: Vehicle &amp; Location</t>
  </si>
  <si>
    <t xml:space="preserve">So sánh loại xe, funnel plot địa điểm</t>
  </si>
  <si>
    <t xml:space="preserve">B05</t>
  </si>
  <si>
    <t xml:space="preserve">Dashboard 5: Pricing Integrity</t>
  </si>
  <si>
    <t xml:space="preserve">Giá vs quãng đường, ngoại lệ</t>
  </si>
  <si>
    <t xml:space="preserve">B06</t>
  </si>
  <si>
    <t xml:space="preserve">Dashboard 6: Service &amp; Payment</t>
  </si>
  <si>
    <t xml:space="preserve">Rating, phương thức thanh toán</t>
  </si>
  <si>
    <t xml:space="preserve">B07</t>
  </si>
  <si>
    <t xml:space="preserve">Mỗi trang gắn với một câu hỏi kinh doanh đã chốt</t>
  </si>
  <si>
    <t xml:space="preserve">Thể hiện hiểu bài toán</t>
  </si>
  <si>
    <t xml:space="preserve">Tiêu đề trang nêu câu hỏi</t>
  </si>
  <si>
    <t xml:space="preserve">B08</t>
  </si>
  <si>
    <t xml:space="preserve">Tương tác: drill-through, tooltip, bookmark, điều hướng giữa các trang</t>
  </si>
  <si>
    <t xml:space="preserve">Chất lượng báo cáo</t>
  </si>
  <si>
    <t xml:space="preserve">Điều hướng chạy mượt</t>
  </si>
  <si>
    <t xml:space="preserve">R01</t>
  </si>
  <si>
    <t xml:space="preserve">Khuyến nghị cho Dashboard 1 (mục tiêu giảm tỷ lệ thất bại, thu hồi doanh thu)</t>
  </si>
  <si>
    <t xml:space="preserve">Có khuyến nghị (Actions) hợp lý</t>
  </si>
  <si>
    <t xml:space="preserve">Khuyến nghị (trần 7 nếu thiếu)</t>
  </si>
  <si>
    <t xml:space="preserve">Phát hiện → con số → hành động → tác động</t>
  </si>
  <si>
    <t xml:space="preserve">R02</t>
  </si>
  <si>
    <t xml:space="preserve">Khuyến nghị cho Dashboard 2 (ưu đãi tài xế ở khung giờ cao điểm)</t>
  </si>
  <si>
    <t xml:space="preserve">R03</t>
  </si>
  <si>
    <t xml:space="preserve">Khuyến nghị cho Dashboard 3 (kiểm toán tài xế huỷ, điều hoà, xác thực địa chỉ)</t>
  </si>
  <si>
    <t xml:space="preserve">R04</t>
  </si>
  <si>
    <t xml:space="preserve">Khuyến nghị cho Dashboard 4 (chỉ can thiệp địa điểm vượt giới hạn thống kê)</t>
  </si>
  <si>
    <t xml:space="preserve">R05</t>
  </si>
  <si>
    <t xml:space="preserve">Khuyến nghị cho Dashboard 5 (rà soát tính giá, cờ giá/km bất thường)</t>
  </si>
  <si>
    <t xml:space="preserve">R06</t>
  </si>
  <si>
    <t xml:space="preserve">Khuyến nghị cho Dashboard 6 (đẩy UPI/ví, theo dõi rủi ro tiền mặt)</t>
  </si>
  <si>
    <t xml:space="preserve">R07</t>
  </si>
  <si>
    <t xml:space="preserve">Mọi khuyến nghị có con số từ dữ liệu, nêu rõ giả định (đặc biệt Revenue at Risk là ước tính)</t>
  </si>
  <si>
    <t xml:space="preserve">Khuyến nghị hợp lý</t>
  </si>
  <si>
    <t xml:space="preserve">Phần giả định trong slide</t>
  </si>
  <si>
    <t xml:space="preserve">R08</t>
  </si>
  <si>
    <t xml:space="preserve">Khuyến nghị trung thực với hạn chế dữ liệu (loại xe gần như giống nhau, không khác biệt theo thứ/tháng)</t>
  </si>
  <si>
    <t xml:space="preserve">Trang hạn chế dữ liệu</t>
  </si>
  <si>
    <t xml:space="preserve">L01</t>
  </si>
  <si>
    <t xml:space="preserve">Dự báo nhu cầu theo giờ (Holt-Winters, SARIMA hoặc Prophet)</t>
  </si>
  <si>
    <t xml:space="preserve">Học máy, khai phá là tiêu chí cộng điểm</t>
  </si>
  <si>
    <t xml:space="preserve">Cộng điểm (học máy)</t>
  </si>
  <si>
    <t xml:space="preserve">Mô hình + sai số dự báo (MAPE)</t>
  </si>
  <si>
    <t xml:space="preserve">L02</t>
  </si>
  <si>
    <t xml:space="preserve">Phát hiện bất thường giá/km (IQR, robust z-score hoặc Isolation Forest)</t>
  </si>
  <si>
    <t xml:space="preserve">Danh sách chuyến bất thường</t>
  </si>
  <si>
    <t xml:space="preserve">L03</t>
  </si>
  <si>
    <t xml:space="preserve">Mô hình dự đoán thất bại booking, báo cáo trung thực chỉ số (AUC, cả khi thấp)</t>
  </si>
  <si>
    <t xml:space="preserve">Kết quả + diễn giải</t>
  </si>
  <si>
    <t xml:space="preserve">L04</t>
  </si>
  <si>
    <t xml:space="preserve">Đưa kết quả học máy vào Power BI và dùng trong khuyến nghị</t>
  </si>
  <si>
    <t xml:space="preserve">Học máy gắn với bài toán</t>
  </si>
  <si>
    <t xml:space="preserve">Trang/biểu đồ dùng kết quả mô hình</t>
  </si>
  <si>
    <t xml:space="preserve">V01</t>
  </si>
  <si>
    <t xml:space="preserve">Lập bảng đối chiếu: nội dung bài thực hành đã học so với kỹ thuật dự án dùng</t>
  </si>
  <si>
    <t xml:space="preserve">Chỉ dùng kiến thức bài thực hành thì tối đa 5 điểm</t>
  </si>
  <si>
    <t xml:space="preserve">Vượt bài thực hành (trần 5)</t>
  </si>
  <si>
    <t xml:space="preserve">Bảng đối chiếu</t>
  </si>
  <si>
    <t xml:space="preserve">V02</t>
  </si>
  <si>
    <t xml:space="preserve">Ghi rõ trong slide các kỹ thuật vượt ngoài bài thực hành</t>
  </si>
  <si>
    <t xml:space="preserve">Slide 'Điểm nhấn kỹ thuật'</t>
  </si>
  <si>
    <t xml:space="preserve">S01</t>
  </si>
  <si>
    <t xml:space="preserve">File project (.pbix) hoàn chỉnh, mở được trên máy khác</t>
  </si>
  <si>
    <t xml:space="preserve">Sản phẩm phải nộp: file project + dataset</t>
  </si>
  <si>
    <t xml:space="preserve">Sản phẩm phải nộp</t>
  </si>
  <si>
    <t xml:space="preserve">Kiểm tra mở trên máy khác, đường dẫn dữ liệu đúng</t>
  </si>
  <si>
    <t xml:space="preserve">S02</t>
  </si>
  <si>
    <t xml:space="preserve">Dataset gốc (CSV) và tài liệu kèm theo</t>
  </si>
  <si>
    <t xml:space="preserve">Thư mục nộp có CSV gốc</t>
  </si>
  <si>
    <t xml:space="preserve">S03</t>
  </si>
  <si>
    <t xml:space="preserve">Slide PowerPoint hoặc PDF: bài toán, dữ liệu, ETL, mô hình, DAX, dashboard, khuyến nghị, hạn chế</t>
  </si>
  <si>
    <t xml:space="preserve">Sản phẩm phải nộp: slide trình bày</t>
  </si>
  <si>
    <t xml:space="preserve">File slide hoàn chỉnh</t>
  </si>
  <si>
    <t xml:space="preserve">S04</t>
  </si>
  <si>
    <t xml:space="preserve">Chia phần thuyết trình, tập nói, chuẩn bị trả lời giải thích từng bước ETL và measure</t>
  </si>
  <si>
    <t xml:space="preserve">Buổi chấm dự án</t>
  </si>
  <si>
    <t xml:space="preserve">Kịch bản + phiên tập</t>
  </si>
  <si>
    <t xml:space="preserve">S05</t>
  </si>
  <si>
    <t xml:space="preserve">Kiểm tra lần cuối: refresh dữ liệu, không lỗi measure, không đường dẫn tuyệt đối hỏng</t>
  </si>
  <si>
    <t xml:space="preserve">Danh sách kiểm tra cuối</t>
  </si>
  <si>
    <t xml:space="preserve">S06</t>
  </si>
  <si>
    <t xml:space="preserve">Sẵn sàng theo lịch chấm (thứ tự danh sách lớp, 2-3 tuần cuối)</t>
  </si>
  <si>
    <t xml:space="preserve">Thời gian chấm dự án</t>
  </si>
  <si>
    <t xml:space="preserve">Xác nhận lịch với lớp/giảng viên</t>
  </si>
</sst>
</file>

<file path=xl/styles.xml><?xml version="1.0" encoding="utf-8"?>
<styleSheet xmlns="http://schemas.openxmlformats.org/spreadsheetml/2006/main">
  <numFmts count="3">
    <numFmt numFmtId="164" formatCode="General"/>
    <numFmt numFmtId="165" formatCode="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8D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C6EFCE"/>
        </patternFill>
      </fill>
    </dxf>
    <dxf>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8DC"/>
          <bgColor rgb="FF000000"/>
        </patternFill>
      </fill>
    </dxf>
    <dxf>
      <fill>
        <patternFill patternType="solid">
          <fgColor rgb="FF0000FF"/>
          <bgColor rgb="FF000000"/>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44"/>
    <col collapsed="false" customWidth="true" hidden="false" outlineLevel="0" max="4" min="4" style="0" width="16"/>
    <col collapsed="false" customWidth="true" hidden="false" outlineLevel="0" max="5" min="5" style="0" width="17"/>
    <col collapsed="false" customWidth="true" hidden="false" outlineLevel="0" max="6" min="6" style="0" width="14"/>
    <col collapsed="false" customWidth="true" hidden="false" outlineLevel="0" max="7" min="7"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9" customFormat="false" ht="15" hidden="false" customHeight="false" outlineLevel="0" collapsed="false">
      <c r="A9" s="3" t="s">
        <v>6</v>
      </c>
    </row>
    <row r="10" customFormat="false" ht="15" hidden="false" customHeight="false" outlineLevel="0" collapsed="false">
      <c r="A10" s="5" t="s">
        <v>7</v>
      </c>
      <c r="B10" s="5" t="s">
        <v>8</v>
      </c>
      <c r="C10" s="5" t="s">
        <v>9</v>
      </c>
      <c r="D10" s="5" t="s">
        <v>10</v>
      </c>
      <c r="E10" s="5" t="s">
        <v>11</v>
      </c>
      <c r="F10" s="5" t="s">
        <v>12</v>
      </c>
    </row>
    <row r="11" customFormat="false" ht="15" hidden="false" customHeight="false" outlineLevel="0" collapsed="false">
      <c r="A11" s="6" t="s">
        <v>13</v>
      </c>
      <c r="B11" s="7" t="s">
        <v>14</v>
      </c>
      <c r="C11" s="6" t="s">
        <v>15</v>
      </c>
      <c r="D11" s="7" t="n">
        <f aca="false">COUNTIFS(Checklist!$E$5:$E$200,"Độ phức tạp (trọng số cao)",Checklist!$I$5:$I$200,"Hoàn thành")</f>
        <v>0</v>
      </c>
      <c r="E11" s="8" t="n">
        <v>8</v>
      </c>
      <c r="F11" s="9" t="str">
        <f aca="false">IF(D11&gt;=E11,"Đạt","Chưa đạt")</f>
        <v>Chưa đạt</v>
      </c>
    </row>
    <row r="12" customFormat="false" ht="15" hidden="false" customHeight="false" outlineLevel="0" collapsed="false">
      <c r="A12" s="6" t="s">
        <v>16</v>
      </c>
      <c r="B12" s="7" t="s">
        <v>14</v>
      </c>
      <c r="C12" s="6" t="s">
        <v>17</v>
      </c>
      <c r="D12" s="7" t="n">
        <f aca="false">COUNTIFS(Checklist!$E$5:$E$200,"Vượt bài thực hành (trần 5)",Checklist!$I$5:$I$200,"Hoàn thành")</f>
        <v>0</v>
      </c>
      <c r="E12" s="8" t="n">
        <v>2</v>
      </c>
      <c r="F12" s="9" t="str">
        <f aca="false">IF(D12&gt;=E12,"Đạt","Chưa đạt")</f>
        <v>Chưa đạt</v>
      </c>
    </row>
    <row r="13" customFormat="false" ht="15" hidden="false" customHeight="false" outlineLevel="0" collapsed="false">
      <c r="A13" s="6" t="s">
        <v>18</v>
      </c>
      <c r="B13" s="7" t="s">
        <v>19</v>
      </c>
      <c r="C13" s="6" t="s">
        <v>20</v>
      </c>
      <c r="D13" s="7" t="n">
        <f aca="false">COUNTIFS(Checklist!$E$5:$E$200,"Khuyến nghị (trần 7 nếu thiếu)",Checklist!$I$5:$I$200,"Hoàn thành")</f>
        <v>0</v>
      </c>
      <c r="E13" s="8" t="n">
        <v>6</v>
      </c>
      <c r="F13" s="9" t="str">
        <f aca="false">IF(D13&gt;=E13,"Đạt","Chưa đạt")</f>
        <v>Chưa đạt</v>
      </c>
    </row>
    <row r="14" customFormat="false" ht="15" hidden="false" customHeight="false" outlineLevel="0" collapsed="false">
      <c r="A14" s="6" t="s">
        <v>21</v>
      </c>
      <c r="B14" s="7" t="s">
        <v>22</v>
      </c>
      <c r="C14" s="6" t="s">
        <v>23</v>
      </c>
      <c r="D14" s="7" t="n">
        <f aca="false">COUNTIFS(Checklist!$E$5:$E$200,"Số lượng dashboard (trọng số cao)",Checklist!$I$5:$I$200,"Hoàn thành")</f>
        <v>0</v>
      </c>
      <c r="E14" s="8" t="n">
        <v>6</v>
      </c>
      <c r="F14" s="9" t="str">
        <f aca="false">IF(D14&gt;=E14,"Đạt","Chưa đạt")</f>
        <v>Chưa đạt</v>
      </c>
    </row>
    <row r="15" customFormat="false" ht="15" hidden="false" customHeight="false" outlineLevel="0" collapsed="false">
      <c r="A15" s="6" t="s">
        <v>24</v>
      </c>
      <c r="B15" s="7" t="s">
        <v>25</v>
      </c>
      <c r="C15" s="6" t="s">
        <v>26</v>
      </c>
      <c r="D15" s="7" t="n">
        <f aca="false">COUNTIFS(Checklist!$E$5:$E$200,"Cộng điểm (học máy)",Checklist!$I$5:$I$200,"Hoàn thành")</f>
        <v>0</v>
      </c>
      <c r="E15" s="8" t="n">
        <v>1</v>
      </c>
      <c r="F15" s="9" t="str">
        <f aca="false">IF(D15&gt;=E15,"Đạt","Chưa đạt")</f>
        <v>Chưa đạt</v>
      </c>
    </row>
    <row r="16" customFormat="false" ht="15" hidden="false" customHeight="false" outlineLevel="0" collapsed="false">
      <c r="A16" s="6" t="s">
        <v>27</v>
      </c>
      <c r="B16" s="7" t="s">
        <v>28</v>
      </c>
      <c r="C16" s="6" t="s">
        <v>29</v>
      </c>
      <c r="D16" s="7" t="n">
        <f aca="false">COUNTIFS(Checklist!$E$5:$E$200,"Sản phẩm phải nộp",Checklist!$I$5:$I$200,"Hoàn thành")</f>
        <v>0</v>
      </c>
      <c r="E16" s="8" t="n">
        <v>6</v>
      </c>
      <c r="F16" s="9" t="str">
        <f aca="false">IF(D16&gt;=E16,"Đạt","Chưa đạt")</f>
        <v>Chưa đạt</v>
      </c>
    </row>
    <row r="17" customFormat="false" ht="15" hidden="false" customHeight="false" outlineLevel="0" collapsed="false">
      <c r="A17" s="2" t="s">
        <v>30</v>
      </c>
    </row>
    <row r="19" customFormat="false" ht="15" hidden="false" customHeight="false" outlineLevel="0" collapsed="false">
      <c r="A19" s="3" t="s">
        <v>31</v>
      </c>
    </row>
    <row r="20" customFormat="false" ht="15" hidden="false" customHeight="false" outlineLevel="0" collapsed="false">
      <c r="A20" s="5" t="s">
        <v>32</v>
      </c>
      <c r="B20" s="5" t="s">
        <v>33</v>
      </c>
      <c r="C20" s="5" t="s">
        <v>34</v>
      </c>
      <c r="D20" s="5" t="s">
        <v>35</v>
      </c>
      <c r="E20" s="5" t="s">
        <v>36</v>
      </c>
      <c r="F20" s="5" t="s">
        <v>37</v>
      </c>
      <c r="G20" s="5" t="s">
        <v>38</v>
      </c>
    </row>
    <row r="21" customFormat="false" ht="15" hidden="false" customHeight="false" outlineLevel="0" collapsed="false">
      <c r="A21" s="6" t="s">
        <v>39</v>
      </c>
      <c r="B21" s="7" t="n">
        <f aca="false">COUNTIFS(Checklist!$B$5:$B$200,$A21)</f>
        <v>4</v>
      </c>
      <c r="C21" s="7" t="n">
        <f aca="false">COUNTIFS(Checklist!$B$5:$B$200,$A21,Checklist!$I$5:$I$200,"Hoàn thành")</f>
        <v>0</v>
      </c>
      <c r="D21" s="7" t="n">
        <f aca="false">COUNTIFS(Checklist!$B$5:$B$200,$A21,Checklist!$I$5:$I$200,"Đang làm")</f>
        <v>0</v>
      </c>
      <c r="E21" s="7" t="n">
        <f aca="false">COUNTIFS(Checklist!$B$5:$B$200,$A21,Checklist!$I$5:$I$200,"Cần xem lại")</f>
        <v>0</v>
      </c>
      <c r="F21" s="7" t="n">
        <f aca="false">COUNTIFS(Checklist!$B$5:$B$200,$A21,Checklist!$I$5:$I$200,"Chưa làm")</f>
        <v>4</v>
      </c>
      <c r="G21" s="10" t="n">
        <f aca="false">IF(B21=0,0,C21/B21)</f>
        <v>0</v>
      </c>
    </row>
    <row r="22" customFormat="false" ht="15" hidden="false" customHeight="false" outlineLevel="0" collapsed="false">
      <c r="A22" s="6" t="s">
        <v>40</v>
      </c>
      <c r="B22" s="7" t="n">
        <f aca="false">COUNTIFS(Checklist!$B$5:$B$200,$A22)</f>
        <v>9</v>
      </c>
      <c r="C22" s="7" t="n">
        <f aca="false">COUNTIFS(Checklist!$B$5:$B$200,$A22,Checklist!$I$5:$I$200,"Hoàn thành")</f>
        <v>0</v>
      </c>
      <c r="D22" s="7" t="n">
        <f aca="false">COUNTIFS(Checklist!$B$5:$B$200,$A22,Checklist!$I$5:$I$200,"Đang làm")</f>
        <v>0</v>
      </c>
      <c r="E22" s="7" t="n">
        <f aca="false">COUNTIFS(Checklist!$B$5:$B$200,$A22,Checklist!$I$5:$I$200,"Cần xem lại")</f>
        <v>0</v>
      </c>
      <c r="F22" s="7" t="n">
        <f aca="false">COUNTIFS(Checklist!$B$5:$B$200,$A22,Checklist!$I$5:$I$200,"Chưa làm")</f>
        <v>9</v>
      </c>
      <c r="G22" s="10" t="n">
        <f aca="false">IF(B22=0,0,C22/B22)</f>
        <v>0</v>
      </c>
    </row>
    <row r="23" customFormat="false" ht="15" hidden="false" customHeight="false" outlineLevel="0" collapsed="false">
      <c r="A23" s="6" t="s">
        <v>41</v>
      </c>
      <c r="B23" s="7" t="n">
        <f aca="false">COUNTIFS(Checklist!$B$5:$B$200,$A23)</f>
        <v>5</v>
      </c>
      <c r="C23" s="7" t="n">
        <f aca="false">COUNTIFS(Checklist!$B$5:$B$200,$A23,Checklist!$I$5:$I$200,"Hoàn thành")</f>
        <v>0</v>
      </c>
      <c r="D23" s="7" t="n">
        <f aca="false">COUNTIFS(Checklist!$B$5:$B$200,$A23,Checklist!$I$5:$I$200,"Đang làm")</f>
        <v>0</v>
      </c>
      <c r="E23" s="7" t="n">
        <f aca="false">COUNTIFS(Checklist!$B$5:$B$200,$A23,Checklist!$I$5:$I$200,"Cần xem lại")</f>
        <v>0</v>
      </c>
      <c r="F23" s="7" t="n">
        <f aca="false">COUNTIFS(Checklist!$B$5:$B$200,$A23,Checklist!$I$5:$I$200,"Chưa làm")</f>
        <v>5</v>
      </c>
      <c r="G23" s="10" t="n">
        <f aca="false">IF(B23=0,0,C23/B23)</f>
        <v>0</v>
      </c>
    </row>
    <row r="24" customFormat="false" ht="15" hidden="false" customHeight="false" outlineLevel="0" collapsed="false">
      <c r="A24" s="6" t="s">
        <v>42</v>
      </c>
      <c r="B24" s="7" t="n">
        <f aca="false">COUNTIFS(Checklist!$B$5:$B$200,$A24)</f>
        <v>8</v>
      </c>
      <c r="C24" s="7" t="n">
        <f aca="false">COUNTIFS(Checklist!$B$5:$B$200,$A24,Checklist!$I$5:$I$200,"Hoàn thành")</f>
        <v>0</v>
      </c>
      <c r="D24" s="7" t="n">
        <f aca="false">COUNTIFS(Checklist!$B$5:$B$200,$A24,Checklist!$I$5:$I$200,"Đang làm")</f>
        <v>0</v>
      </c>
      <c r="E24" s="7" t="n">
        <f aca="false">COUNTIFS(Checklist!$B$5:$B$200,$A24,Checklist!$I$5:$I$200,"Cần xem lại")</f>
        <v>0</v>
      </c>
      <c r="F24" s="7" t="n">
        <f aca="false">COUNTIFS(Checklist!$B$5:$B$200,$A24,Checklist!$I$5:$I$200,"Chưa làm")</f>
        <v>8</v>
      </c>
      <c r="G24" s="10" t="n">
        <f aca="false">IF(B24=0,0,C24/B24)</f>
        <v>0</v>
      </c>
    </row>
    <row r="25" customFormat="false" ht="15" hidden="false" customHeight="false" outlineLevel="0" collapsed="false">
      <c r="A25" s="6" t="s">
        <v>43</v>
      </c>
      <c r="B25" s="7" t="n">
        <f aca="false">COUNTIFS(Checklist!$B$5:$B$200,$A25)</f>
        <v>8</v>
      </c>
      <c r="C25" s="7" t="n">
        <f aca="false">COUNTIFS(Checklist!$B$5:$B$200,$A25,Checklist!$I$5:$I$200,"Hoàn thành")</f>
        <v>0</v>
      </c>
      <c r="D25" s="7" t="n">
        <f aca="false">COUNTIFS(Checklist!$B$5:$B$200,$A25,Checklist!$I$5:$I$200,"Đang làm")</f>
        <v>0</v>
      </c>
      <c r="E25" s="7" t="n">
        <f aca="false">COUNTIFS(Checklist!$B$5:$B$200,$A25,Checklist!$I$5:$I$200,"Cần xem lại")</f>
        <v>0</v>
      </c>
      <c r="F25" s="7" t="n">
        <f aca="false">COUNTIFS(Checklist!$B$5:$B$200,$A25,Checklist!$I$5:$I$200,"Chưa làm")</f>
        <v>8</v>
      </c>
      <c r="G25" s="10" t="n">
        <f aca="false">IF(B25=0,0,C25/B25)</f>
        <v>0</v>
      </c>
    </row>
    <row r="26" customFormat="false" ht="15" hidden="false" customHeight="false" outlineLevel="0" collapsed="false">
      <c r="A26" s="6" t="s">
        <v>44</v>
      </c>
      <c r="B26" s="7" t="n">
        <f aca="false">COUNTIFS(Checklist!$B$5:$B$200,$A26)</f>
        <v>8</v>
      </c>
      <c r="C26" s="7" t="n">
        <f aca="false">COUNTIFS(Checklist!$B$5:$B$200,$A26,Checklist!$I$5:$I$200,"Hoàn thành")</f>
        <v>0</v>
      </c>
      <c r="D26" s="7" t="n">
        <f aca="false">COUNTIFS(Checklist!$B$5:$B$200,$A26,Checklist!$I$5:$I$200,"Đang làm")</f>
        <v>0</v>
      </c>
      <c r="E26" s="7" t="n">
        <f aca="false">COUNTIFS(Checklist!$B$5:$B$200,$A26,Checklist!$I$5:$I$200,"Cần xem lại")</f>
        <v>0</v>
      </c>
      <c r="F26" s="7" t="n">
        <f aca="false">COUNTIFS(Checklist!$B$5:$B$200,$A26,Checklist!$I$5:$I$200,"Chưa làm")</f>
        <v>8</v>
      </c>
      <c r="G26" s="10" t="n">
        <f aca="false">IF(B26=0,0,C26/B26)</f>
        <v>0</v>
      </c>
    </row>
    <row r="27" customFormat="false" ht="15" hidden="false" customHeight="false" outlineLevel="0" collapsed="false">
      <c r="A27" s="6" t="s">
        <v>45</v>
      </c>
      <c r="B27" s="7" t="n">
        <f aca="false">COUNTIFS(Checklist!$B$5:$B$200,$A27)</f>
        <v>4</v>
      </c>
      <c r="C27" s="7" t="n">
        <f aca="false">COUNTIFS(Checklist!$B$5:$B$200,$A27,Checklist!$I$5:$I$200,"Hoàn thành")</f>
        <v>0</v>
      </c>
      <c r="D27" s="7" t="n">
        <f aca="false">COUNTIFS(Checklist!$B$5:$B$200,$A27,Checklist!$I$5:$I$200,"Đang làm")</f>
        <v>0</v>
      </c>
      <c r="E27" s="7" t="n">
        <f aca="false">COUNTIFS(Checklist!$B$5:$B$200,$A27,Checklist!$I$5:$I$200,"Cần xem lại")</f>
        <v>0</v>
      </c>
      <c r="F27" s="7" t="n">
        <f aca="false">COUNTIFS(Checklist!$B$5:$B$200,$A27,Checklist!$I$5:$I$200,"Chưa làm")</f>
        <v>4</v>
      </c>
      <c r="G27" s="10" t="n">
        <f aca="false">IF(B27=0,0,C27/B27)</f>
        <v>0</v>
      </c>
    </row>
    <row r="28" customFormat="false" ht="15" hidden="false" customHeight="false" outlineLevel="0" collapsed="false">
      <c r="A28" s="6" t="s">
        <v>46</v>
      </c>
      <c r="B28" s="7" t="n">
        <f aca="false">COUNTIFS(Checklist!$B$5:$B$200,$A28)</f>
        <v>2</v>
      </c>
      <c r="C28" s="7" t="n">
        <f aca="false">COUNTIFS(Checklist!$B$5:$B$200,$A28,Checklist!$I$5:$I$200,"Hoàn thành")</f>
        <v>0</v>
      </c>
      <c r="D28" s="7" t="n">
        <f aca="false">COUNTIFS(Checklist!$B$5:$B$200,$A28,Checklist!$I$5:$I$200,"Đang làm")</f>
        <v>0</v>
      </c>
      <c r="E28" s="7" t="n">
        <f aca="false">COUNTIFS(Checklist!$B$5:$B$200,$A28,Checklist!$I$5:$I$200,"Cần xem lại")</f>
        <v>0</v>
      </c>
      <c r="F28" s="7" t="n">
        <f aca="false">COUNTIFS(Checklist!$B$5:$B$200,$A28,Checklist!$I$5:$I$200,"Chưa làm")</f>
        <v>2</v>
      </c>
      <c r="G28" s="10" t="n">
        <f aca="false">IF(B28=0,0,C28/B28)</f>
        <v>0</v>
      </c>
    </row>
    <row r="29" customFormat="false" ht="15" hidden="false" customHeight="false" outlineLevel="0" collapsed="false">
      <c r="A29" s="6" t="s">
        <v>47</v>
      </c>
      <c r="B29" s="7" t="n">
        <f aca="false">COUNTIFS(Checklist!$B$5:$B$200,$A29)</f>
        <v>6</v>
      </c>
      <c r="C29" s="7" t="n">
        <f aca="false">COUNTIFS(Checklist!$B$5:$B$200,$A29,Checklist!$I$5:$I$200,"Hoàn thành")</f>
        <v>0</v>
      </c>
      <c r="D29" s="7" t="n">
        <f aca="false">COUNTIFS(Checklist!$B$5:$B$200,$A29,Checklist!$I$5:$I$200,"Đang làm")</f>
        <v>0</v>
      </c>
      <c r="E29" s="7" t="n">
        <f aca="false">COUNTIFS(Checklist!$B$5:$B$200,$A29,Checklist!$I$5:$I$200,"Cần xem lại")</f>
        <v>0</v>
      </c>
      <c r="F29" s="7" t="n">
        <f aca="false">COUNTIFS(Checklist!$B$5:$B$200,$A29,Checklist!$I$5:$I$200,"Chưa làm")</f>
        <v>6</v>
      </c>
      <c r="G29" s="10" t="n">
        <f aca="false">IF(B29=0,0,C29/B29)</f>
        <v>0</v>
      </c>
    </row>
    <row r="30" customFormat="false" ht="15" hidden="false" customHeight="false" outlineLevel="0" collapsed="false">
      <c r="A30" s="11" t="s">
        <v>48</v>
      </c>
      <c r="B30" s="12" t="n">
        <f aca="false">SUM(B21:B29)</f>
        <v>54</v>
      </c>
      <c r="C30" s="12" t="n">
        <f aca="false">SUM(C21:C29)</f>
        <v>0</v>
      </c>
      <c r="D30" s="12" t="n">
        <f aca="false">SUM(D21:D29)</f>
        <v>0</v>
      </c>
      <c r="E30" s="12" t="n">
        <f aca="false">SUM(E21:E29)</f>
        <v>0</v>
      </c>
      <c r="F30" s="12" t="n">
        <f aca="false">SUM(F21:F29)</f>
        <v>54</v>
      </c>
      <c r="G30" s="13" t="n">
        <f aca="false">IF(B30=0,0,C30/B30)</f>
        <v>0</v>
      </c>
    </row>
    <row r="32" customFormat="false" ht="15" hidden="false" customHeight="false" outlineLevel="0" collapsed="false">
      <c r="A32" s="3" t="s">
        <v>49</v>
      </c>
    </row>
    <row r="33" customFormat="false" ht="15" hidden="false" customHeight="false" outlineLevel="0" collapsed="false">
      <c r="A33" s="5" t="s">
        <v>50</v>
      </c>
      <c r="B33" s="5" t="s">
        <v>33</v>
      </c>
      <c r="C33" s="5" t="s">
        <v>34</v>
      </c>
      <c r="D33" s="5" t="s">
        <v>35</v>
      </c>
      <c r="E33" s="5" t="s">
        <v>36</v>
      </c>
      <c r="F33" s="5" t="s">
        <v>37</v>
      </c>
      <c r="G33" s="5" t="s">
        <v>38</v>
      </c>
    </row>
    <row r="34" customFormat="false" ht="15" hidden="false" customHeight="false" outlineLevel="0" collapsed="false">
      <c r="A34" s="14" t="s">
        <v>51</v>
      </c>
      <c r="B34" s="7" t="n">
        <f aca="false">COUNTIFS(Checklist!$G$5:$G$200,$A34)</f>
        <v>20</v>
      </c>
      <c r="C34" s="7" t="n">
        <f aca="false">COUNTIFS(Checklist!$G$5:$G$200,$A34,Checklist!$I$5:$I$200,"Hoàn thành")</f>
        <v>0</v>
      </c>
      <c r="D34" s="7" t="n">
        <f aca="false">COUNTIFS(Checklist!$G$5:$G$200,$A34,Checklist!$I$5:$I$200,"Đang làm")</f>
        <v>0</v>
      </c>
      <c r="E34" s="7" t="n">
        <f aca="false">COUNTIFS(Checklist!$G$5:$G$200,$A34,Checklist!$I$5:$I$200,"Cần xem lại")</f>
        <v>0</v>
      </c>
      <c r="F34" s="7" t="n">
        <f aca="false">COUNTIFS(Checklist!$G$5:$G$200,$A34,Checklist!$I$5:$I$200,"Chưa làm")</f>
        <v>20</v>
      </c>
      <c r="G34" s="10" t="n">
        <f aca="false">IF(B34=0,0,C34/B34)</f>
        <v>0</v>
      </c>
    </row>
    <row r="35" customFormat="false" ht="15" hidden="false" customHeight="false" outlineLevel="0" collapsed="false">
      <c r="A35" s="14" t="s">
        <v>52</v>
      </c>
      <c r="B35" s="7" t="n">
        <f aca="false">COUNTIFS(Checklist!$G$5:$G$200,$A35)</f>
        <v>14</v>
      </c>
      <c r="C35" s="7" t="n">
        <f aca="false">COUNTIFS(Checklist!$G$5:$G$200,$A35,Checklist!$I$5:$I$200,"Hoàn thành")</f>
        <v>0</v>
      </c>
      <c r="D35" s="7" t="n">
        <f aca="false">COUNTIFS(Checklist!$G$5:$G$200,$A35,Checklist!$I$5:$I$200,"Đang làm")</f>
        <v>0</v>
      </c>
      <c r="E35" s="7" t="n">
        <f aca="false">COUNTIFS(Checklist!$G$5:$G$200,$A35,Checklist!$I$5:$I$200,"Cần xem lại")</f>
        <v>0</v>
      </c>
      <c r="F35" s="7" t="n">
        <f aca="false">COUNTIFS(Checklist!$G$5:$G$200,$A35,Checklist!$I$5:$I$200,"Chưa làm")</f>
        <v>14</v>
      </c>
      <c r="G35" s="10" t="n">
        <f aca="false">IF(B35=0,0,C35/B35)</f>
        <v>0</v>
      </c>
    </row>
    <row r="36" customFormat="false" ht="15" hidden="false" customHeight="false" outlineLevel="0" collapsed="false">
      <c r="A36" s="14" t="s">
        <v>53</v>
      </c>
      <c r="B36" s="7" t="n">
        <f aca="false">COUNTIFS(Checklist!$G$5:$G$200,$A36)</f>
        <v>20</v>
      </c>
      <c r="C36" s="7" t="n">
        <f aca="false">COUNTIFS(Checklist!$G$5:$G$200,$A36,Checklist!$I$5:$I$200,"Hoàn thành")</f>
        <v>0</v>
      </c>
      <c r="D36" s="7" t="n">
        <f aca="false">COUNTIFS(Checklist!$G$5:$G$200,$A36,Checklist!$I$5:$I$200,"Đang làm")</f>
        <v>0</v>
      </c>
      <c r="E36" s="7" t="n">
        <f aca="false">COUNTIFS(Checklist!$G$5:$G$200,$A36,Checklist!$I$5:$I$200,"Cần xem lại")</f>
        <v>0</v>
      </c>
      <c r="F36" s="7" t="n">
        <f aca="false">COUNTIFS(Checklist!$G$5:$G$200,$A36,Checklist!$I$5:$I$200,"Chưa làm")</f>
        <v>20</v>
      </c>
      <c r="G36" s="10" t="n">
        <f aca="false">IF(B36=0,0,C36/B36)</f>
        <v>0</v>
      </c>
    </row>
    <row r="39" customFormat="false" ht="15" hidden="false" customHeight="false" outlineLevel="0" collapsed="false">
      <c r="A39" s="3" t="s">
        <v>54</v>
      </c>
    </row>
    <row r="40" customFormat="false" ht="15" hidden="false" customHeight="false" outlineLevel="0" collapsed="false">
      <c r="A40" s="5" t="s">
        <v>55</v>
      </c>
      <c r="B40" s="5" t="s">
        <v>56</v>
      </c>
      <c r="C40" s="5" t="s">
        <v>34</v>
      </c>
      <c r="D40" s="5" t="s">
        <v>35</v>
      </c>
      <c r="E40" s="5" t="s">
        <v>36</v>
      </c>
      <c r="F40" s="5" t="s">
        <v>37</v>
      </c>
      <c r="G40" s="5" t="s">
        <v>38</v>
      </c>
    </row>
    <row r="41" customFormat="false" ht="15" hidden="false" customHeight="false" outlineLevel="0" collapsed="false">
      <c r="A41" s="7" t="n">
        <v>1</v>
      </c>
      <c r="B41" s="7" t="n">
        <f aca="false">COUNTIFS(Checklist!$H$5:$H$200,$A41)</f>
        <v>5</v>
      </c>
      <c r="C41" s="7" t="n">
        <f aca="false">COUNTIFS(Checklist!$H$5:$H$200,$A41,Checklist!$I$5:$I$200,"Hoàn thành")</f>
        <v>0</v>
      </c>
      <c r="D41" s="7" t="n">
        <f aca="false">COUNTIFS(Checklist!$H$5:$H$200,$A41,Checklist!$I$5:$I$200,"Đang làm")</f>
        <v>0</v>
      </c>
      <c r="E41" s="7" t="n">
        <f aca="false">COUNTIFS(Checklist!$H$5:$H$200,$A41,Checklist!$I$5:$I$200,"Cần xem lại")</f>
        <v>0</v>
      </c>
      <c r="F41" s="7" t="n">
        <f aca="false">COUNTIFS(Checklist!$H$5:$H$200,$A41,Checklist!$I$5:$I$200,"Chưa làm")</f>
        <v>5</v>
      </c>
      <c r="G41" s="10" t="n">
        <f aca="false">IF(B41=0,0,C41/B41)</f>
        <v>0</v>
      </c>
    </row>
    <row r="42" customFormat="false" ht="15" hidden="false" customHeight="false" outlineLevel="0" collapsed="false">
      <c r="A42" s="7" t="n">
        <v>2</v>
      </c>
      <c r="B42" s="7" t="n">
        <f aca="false">COUNTIFS(Checklist!$H$5:$H$200,$A42)</f>
        <v>11</v>
      </c>
      <c r="C42" s="7" t="n">
        <f aca="false">COUNTIFS(Checklist!$H$5:$H$200,$A42,Checklist!$I$5:$I$200,"Hoàn thành")</f>
        <v>0</v>
      </c>
      <c r="D42" s="7" t="n">
        <f aca="false">COUNTIFS(Checklist!$H$5:$H$200,$A42,Checklist!$I$5:$I$200,"Đang làm")</f>
        <v>0</v>
      </c>
      <c r="E42" s="7" t="n">
        <f aca="false">COUNTIFS(Checklist!$H$5:$H$200,$A42,Checklist!$I$5:$I$200,"Cần xem lại")</f>
        <v>0</v>
      </c>
      <c r="F42" s="7" t="n">
        <f aca="false">COUNTIFS(Checklist!$H$5:$H$200,$A42,Checklist!$I$5:$I$200,"Chưa làm")</f>
        <v>11</v>
      </c>
      <c r="G42" s="10" t="n">
        <f aca="false">IF(B42=0,0,C42/B42)</f>
        <v>0</v>
      </c>
    </row>
    <row r="43" customFormat="false" ht="15" hidden="false" customHeight="false" outlineLevel="0" collapsed="false">
      <c r="A43" s="7" t="n">
        <v>3</v>
      </c>
      <c r="B43" s="7" t="n">
        <f aca="false">COUNTIFS(Checklist!$H$5:$H$200,$A43)</f>
        <v>6</v>
      </c>
      <c r="C43" s="7" t="n">
        <f aca="false">COUNTIFS(Checklist!$H$5:$H$200,$A43,Checklist!$I$5:$I$200,"Hoàn thành")</f>
        <v>0</v>
      </c>
      <c r="D43" s="7" t="n">
        <f aca="false">COUNTIFS(Checklist!$H$5:$H$200,$A43,Checklist!$I$5:$I$200,"Đang làm")</f>
        <v>0</v>
      </c>
      <c r="E43" s="7" t="n">
        <f aca="false">COUNTIFS(Checklist!$H$5:$H$200,$A43,Checklist!$I$5:$I$200,"Cần xem lại")</f>
        <v>0</v>
      </c>
      <c r="F43" s="7" t="n">
        <f aca="false">COUNTIFS(Checklist!$H$5:$H$200,$A43,Checklist!$I$5:$I$200,"Chưa làm")</f>
        <v>6</v>
      </c>
      <c r="G43" s="10" t="n">
        <f aca="false">IF(B43=0,0,C43/B43)</f>
        <v>0</v>
      </c>
    </row>
    <row r="44" customFormat="false" ht="15" hidden="false" customHeight="false" outlineLevel="0" collapsed="false">
      <c r="A44" s="7" t="n">
        <v>4</v>
      </c>
      <c r="B44" s="7" t="n">
        <f aca="false">COUNTIFS(Checklist!$H$5:$H$200,$A44)</f>
        <v>5</v>
      </c>
      <c r="C44" s="7" t="n">
        <f aca="false">COUNTIFS(Checklist!$H$5:$H$200,$A44,Checklist!$I$5:$I$200,"Hoàn thành")</f>
        <v>0</v>
      </c>
      <c r="D44" s="7" t="n">
        <f aca="false">COUNTIFS(Checklist!$H$5:$H$200,$A44,Checklist!$I$5:$I$200,"Đang làm")</f>
        <v>0</v>
      </c>
      <c r="E44" s="7" t="n">
        <f aca="false">COUNTIFS(Checklist!$H$5:$H$200,$A44,Checklist!$I$5:$I$200,"Cần xem lại")</f>
        <v>0</v>
      </c>
      <c r="F44" s="7" t="n">
        <f aca="false">COUNTIFS(Checklist!$H$5:$H$200,$A44,Checklist!$I$5:$I$200,"Chưa làm")</f>
        <v>5</v>
      </c>
      <c r="G44" s="10" t="n">
        <f aca="false">IF(B44=0,0,C44/B44)</f>
        <v>0</v>
      </c>
    </row>
    <row r="45" customFormat="false" ht="15" hidden="false" customHeight="false" outlineLevel="0" collapsed="false">
      <c r="A45" s="7" t="n">
        <v>5</v>
      </c>
      <c r="B45" s="7" t="n">
        <f aca="false">COUNTIFS(Checklist!$H$5:$H$200,$A45)</f>
        <v>4</v>
      </c>
      <c r="C45" s="7" t="n">
        <f aca="false">COUNTIFS(Checklist!$H$5:$H$200,$A45,Checklist!$I$5:$I$200,"Hoàn thành")</f>
        <v>0</v>
      </c>
      <c r="D45" s="7" t="n">
        <f aca="false">COUNTIFS(Checklist!$H$5:$H$200,$A45,Checklist!$I$5:$I$200,"Đang làm")</f>
        <v>0</v>
      </c>
      <c r="E45" s="7" t="n">
        <f aca="false">COUNTIFS(Checklist!$H$5:$H$200,$A45,Checklist!$I$5:$I$200,"Cần xem lại")</f>
        <v>0</v>
      </c>
      <c r="F45" s="7" t="n">
        <f aca="false">COUNTIFS(Checklist!$H$5:$H$200,$A45,Checklist!$I$5:$I$200,"Chưa làm")</f>
        <v>4</v>
      </c>
      <c r="G45" s="10" t="n">
        <f aca="false">IF(B45=0,0,C45/B45)</f>
        <v>0</v>
      </c>
    </row>
    <row r="46" customFormat="false" ht="15" hidden="false" customHeight="false" outlineLevel="0" collapsed="false">
      <c r="A46" s="7" t="n">
        <v>6</v>
      </c>
      <c r="B46" s="7" t="n">
        <f aca="false">COUNTIFS(Checklist!$H$5:$H$200,$A46)</f>
        <v>11</v>
      </c>
      <c r="C46" s="7" t="n">
        <f aca="false">COUNTIFS(Checklist!$H$5:$H$200,$A46,Checklist!$I$5:$I$200,"Hoàn thành")</f>
        <v>0</v>
      </c>
      <c r="D46" s="7" t="n">
        <f aca="false">COUNTIFS(Checklist!$H$5:$H$200,$A46,Checklist!$I$5:$I$200,"Đang làm")</f>
        <v>0</v>
      </c>
      <c r="E46" s="7" t="n">
        <f aca="false">COUNTIFS(Checklist!$H$5:$H$200,$A46,Checklist!$I$5:$I$200,"Cần xem lại")</f>
        <v>0</v>
      </c>
      <c r="F46" s="7" t="n">
        <f aca="false">COUNTIFS(Checklist!$H$5:$H$200,$A46,Checklist!$I$5:$I$200,"Chưa làm")</f>
        <v>11</v>
      </c>
      <c r="G46" s="10" t="n">
        <f aca="false">IF(B46=0,0,C46/B46)</f>
        <v>0</v>
      </c>
    </row>
    <row r="47" customFormat="false" ht="15" hidden="false" customHeight="false" outlineLevel="0" collapsed="false">
      <c r="A47" s="7" t="n">
        <v>7</v>
      </c>
      <c r="B47" s="7" t="n">
        <f aca="false">COUNTIFS(Checklist!$H$5:$H$200,$A47)</f>
        <v>7</v>
      </c>
      <c r="C47" s="7" t="n">
        <f aca="false">COUNTIFS(Checklist!$H$5:$H$200,$A47,Checklist!$I$5:$I$200,"Hoàn thành")</f>
        <v>0</v>
      </c>
      <c r="D47" s="7" t="n">
        <f aca="false">COUNTIFS(Checklist!$H$5:$H$200,$A47,Checklist!$I$5:$I$200,"Đang làm")</f>
        <v>0</v>
      </c>
      <c r="E47" s="7" t="n">
        <f aca="false">COUNTIFS(Checklist!$H$5:$H$200,$A47,Checklist!$I$5:$I$200,"Cần xem lại")</f>
        <v>0</v>
      </c>
      <c r="F47" s="7" t="n">
        <f aca="false">COUNTIFS(Checklist!$H$5:$H$200,$A47,Checklist!$I$5:$I$200,"Chưa làm")</f>
        <v>7</v>
      </c>
      <c r="G47" s="10" t="n">
        <f aca="false">IF(B47=0,0,C47/B47)</f>
        <v>0</v>
      </c>
    </row>
    <row r="48" customFormat="false" ht="15" hidden="false" customHeight="false" outlineLevel="0" collapsed="false">
      <c r="A48" s="7" t="n">
        <v>8</v>
      </c>
      <c r="B48" s="7" t="n">
        <f aca="false">COUNTIFS(Checklist!$H$5:$H$200,$A48)</f>
        <v>5</v>
      </c>
      <c r="C48" s="7" t="n">
        <f aca="false">COUNTIFS(Checklist!$H$5:$H$200,$A48,Checklist!$I$5:$I$200,"Hoàn thành")</f>
        <v>0</v>
      </c>
      <c r="D48" s="7" t="n">
        <f aca="false">COUNTIFS(Checklist!$H$5:$H$200,$A48,Checklist!$I$5:$I$200,"Đang làm")</f>
        <v>0</v>
      </c>
      <c r="E48" s="7" t="n">
        <f aca="false">COUNTIFS(Checklist!$H$5:$H$200,$A48,Checklist!$I$5:$I$200,"Cần xem lại")</f>
        <v>0</v>
      </c>
      <c r="F48" s="7" t="n">
        <f aca="false">COUNTIFS(Checklist!$H$5:$H$200,$A48,Checklist!$I$5:$I$200,"Chưa làm")</f>
        <v>5</v>
      </c>
      <c r="G48" s="10" t="n">
        <f aca="false">IF(B48=0,0,C48/B48)</f>
        <v>0</v>
      </c>
    </row>
  </sheetData>
  <conditionalFormatting sqref="F11:F16">
    <cfRule type="cellIs" priority="2" operator="equal" aboveAverage="0" equalAverage="0" bottom="0" percent="0" rank="0" text="" dxfId="0">
      <formula>"Đạt"</formula>
    </cfRule>
    <cfRule type="cellIs" priority="3" operator="equal" aboveAverage="0" equalAverage="0" bottom="0" percent="0" rank="0" text="" dxfId="1">
      <formula>"Chưa đạt"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52"/>
    <col collapsed="false" customWidth="true" hidden="false" outlineLevel="0" max="4" min="4" style="0" width="38"/>
    <col collapsed="false" customWidth="true" hidden="false" outlineLevel="0" max="5" min="5" style="0" width="26"/>
    <col collapsed="false" customWidth="true" hidden="false" outlineLevel="0" max="6" min="6" style="0" width="38"/>
    <col collapsed="false" customWidth="true" hidden="false" outlineLevel="0" max="7" min="7" style="0" width="13"/>
    <col collapsed="false" customWidth="true" hidden="false" outlineLevel="0" max="8" min="8" style="0" width="9"/>
    <col collapsed="false" customWidth="true" hidden="false" outlineLevel="0" max="9" min="9" style="0" width="13"/>
    <col collapsed="false" customWidth="true" hidden="false" outlineLevel="0" max="10" min="10" style="0" width="28"/>
  </cols>
  <sheetData>
    <row r="1" customFormat="false" ht="17.35" hidden="false" customHeight="false" outlineLevel="0" collapsed="false">
      <c r="A1" s="1" t="s">
        <v>57</v>
      </c>
    </row>
    <row r="2" customFormat="false" ht="15" hidden="false" customHeight="false" outlineLevel="0" collapsed="false">
      <c r="A2" s="2" t="s">
        <v>58</v>
      </c>
    </row>
    <row r="4" customFormat="false" ht="30" hidden="false" customHeight="true" outlineLevel="0" collapsed="false">
      <c r="A4" s="5" t="s">
        <v>59</v>
      </c>
      <c r="B4" s="5" t="s">
        <v>32</v>
      </c>
      <c r="C4" s="5" t="s">
        <v>60</v>
      </c>
      <c r="D4" s="5" t="s">
        <v>61</v>
      </c>
      <c r="E4" s="5" t="s">
        <v>22</v>
      </c>
      <c r="F4" s="5" t="s">
        <v>62</v>
      </c>
      <c r="G4" s="5" t="s">
        <v>50</v>
      </c>
      <c r="H4" s="5" t="s">
        <v>63</v>
      </c>
      <c r="I4" s="5" t="s">
        <v>64</v>
      </c>
      <c r="J4" s="5" t="s">
        <v>65</v>
      </c>
    </row>
    <row r="5" customFormat="false" ht="23.85" hidden="false" customHeight="false" outlineLevel="0" collapsed="false">
      <c r="A5" s="15" t="s">
        <v>66</v>
      </c>
      <c r="B5" s="16" t="s">
        <v>39</v>
      </c>
      <c r="C5" s="16" t="s">
        <v>67</v>
      </c>
      <c r="D5" s="16" t="s">
        <v>68</v>
      </c>
      <c r="E5" s="16" t="s">
        <v>69</v>
      </c>
      <c r="F5" s="16" t="s">
        <v>70</v>
      </c>
      <c r="G5" s="17" t="s">
        <v>53</v>
      </c>
      <c r="H5" s="17" t="n">
        <v>1</v>
      </c>
      <c r="I5" s="17" t="s">
        <v>37</v>
      </c>
      <c r="J5" s="18"/>
    </row>
    <row r="6" customFormat="false" ht="23.85" hidden="false" customHeight="false" outlineLevel="0" collapsed="false">
      <c r="A6" s="15" t="s">
        <v>71</v>
      </c>
      <c r="B6" s="16" t="s">
        <v>39</v>
      </c>
      <c r="C6" s="16" t="s">
        <v>72</v>
      </c>
      <c r="D6" s="16" t="s">
        <v>73</v>
      </c>
      <c r="E6" s="16" t="s">
        <v>69</v>
      </c>
      <c r="F6" s="16" t="s">
        <v>74</v>
      </c>
      <c r="G6" s="17" t="s">
        <v>51</v>
      </c>
      <c r="H6" s="17" t="n">
        <v>1</v>
      </c>
      <c r="I6" s="17" t="s">
        <v>37</v>
      </c>
      <c r="J6" s="18"/>
    </row>
    <row r="7" customFormat="false" ht="15" hidden="false" customHeight="false" outlineLevel="0" collapsed="false">
      <c r="A7" s="15" t="s">
        <v>75</v>
      </c>
      <c r="B7" s="16" t="s">
        <v>39</v>
      </c>
      <c r="C7" s="16" t="s">
        <v>76</v>
      </c>
      <c r="D7" s="16" t="s">
        <v>77</v>
      </c>
      <c r="E7" s="16" t="s">
        <v>69</v>
      </c>
      <c r="F7" s="16" t="s">
        <v>78</v>
      </c>
      <c r="G7" s="17" t="s">
        <v>53</v>
      </c>
      <c r="H7" s="17" t="n">
        <v>1</v>
      </c>
      <c r="I7" s="17" t="s">
        <v>37</v>
      </c>
      <c r="J7" s="18"/>
    </row>
    <row r="8" customFormat="false" ht="23.85" hidden="false" customHeight="false" outlineLevel="0" collapsed="false">
      <c r="A8" s="15" t="s">
        <v>79</v>
      </c>
      <c r="B8" s="16" t="s">
        <v>39</v>
      </c>
      <c r="C8" s="16" t="s">
        <v>80</v>
      </c>
      <c r="D8" s="16" t="s">
        <v>81</v>
      </c>
      <c r="E8" s="16" t="s">
        <v>69</v>
      </c>
      <c r="F8" s="16" t="s">
        <v>82</v>
      </c>
      <c r="G8" s="17" t="s">
        <v>53</v>
      </c>
      <c r="H8" s="17" t="n">
        <v>1</v>
      </c>
      <c r="I8" s="17" t="s">
        <v>37</v>
      </c>
      <c r="J8" s="18"/>
    </row>
    <row r="9" customFormat="false" ht="15" hidden="false" customHeight="false" outlineLevel="0" collapsed="false">
      <c r="A9" s="15" t="s">
        <v>83</v>
      </c>
      <c r="B9" s="16" t="s">
        <v>40</v>
      </c>
      <c r="C9" s="16" t="s">
        <v>84</v>
      </c>
      <c r="D9" s="16" t="s">
        <v>85</v>
      </c>
      <c r="E9" s="16" t="s">
        <v>86</v>
      </c>
      <c r="F9" s="16" t="s">
        <v>87</v>
      </c>
      <c r="G9" s="17" t="s">
        <v>51</v>
      </c>
      <c r="H9" s="17" t="n">
        <v>2</v>
      </c>
      <c r="I9" s="17" t="s">
        <v>37</v>
      </c>
      <c r="J9" s="18"/>
    </row>
    <row r="10" customFormat="false" ht="23.85" hidden="false" customHeight="false" outlineLevel="0" collapsed="false">
      <c r="A10" s="15" t="s">
        <v>88</v>
      </c>
      <c r="B10" s="16" t="s">
        <v>40</v>
      </c>
      <c r="C10" s="16" t="s">
        <v>89</v>
      </c>
      <c r="D10" s="16" t="s">
        <v>90</v>
      </c>
      <c r="E10" s="16" t="s">
        <v>91</v>
      </c>
      <c r="F10" s="16" t="s">
        <v>92</v>
      </c>
      <c r="G10" s="17" t="s">
        <v>51</v>
      </c>
      <c r="H10" s="17" t="n">
        <v>2</v>
      </c>
      <c r="I10" s="17" t="s">
        <v>37</v>
      </c>
      <c r="J10" s="18"/>
    </row>
    <row r="11" customFormat="false" ht="15" hidden="false" customHeight="false" outlineLevel="0" collapsed="false">
      <c r="A11" s="15" t="s">
        <v>93</v>
      </c>
      <c r="B11" s="16" t="s">
        <v>40</v>
      </c>
      <c r="C11" s="16" t="s">
        <v>94</v>
      </c>
      <c r="D11" s="16" t="s">
        <v>90</v>
      </c>
      <c r="E11" s="16" t="s">
        <v>91</v>
      </c>
      <c r="F11" s="16" t="s">
        <v>95</v>
      </c>
      <c r="G11" s="17" t="s">
        <v>51</v>
      </c>
      <c r="H11" s="17" t="n">
        <v>2</v>
      </c>
      <c r="I11" s="17" t="s">
        <v>37</v>
      </c>
      <c r="J11" s="18"/>
    </row>
    <row r="12" customFormat="false" ht="23.85" hidden="false" customHeight="false" outlineLevel="0" collapsed="false">
      <c r="A12" s="15" t="s">
        <v>96</v>
      </c>
      <c r="B12" s="16" t="s">
        <v>40</v>
      </c>
      <c r="C12" s="16" t="s">
        <v>97</v>
      </c>
      <c r="D12" s="16" t="s">
        <v>90</v>
      </c>
      <c r="E12" s="16" t="s">
        <v>91</v>
      </c>
      <c r="F12" s="16" t="s">
        <v>98</v>
      </c>
      <c r="G12" s="17" t="s">
        <v>52</v>
      </c>
      <c r="H12" s="17" t="n">
        <v>2</v>
      </c>
      <c r="I12" s="17" t="s">
        <v>37</v>
      </c>
      <c r="J12" s="18"/>
    </row>
    <row r="13" customFormat="false" ht="15" hidden="false" customHeight="false" outlineLevel="0" collapsed="false">
      <c r="A13" s="15" t="s">
        <v>99</v>
      </c>
      <c r="B13" s="16" t="s">
        <v>40</v>
      </c>
      <c r="C13" s="16" t="s">
        <v>100</v>
      </c>
      <c r="D13" s="16" t="s">
        <v>90</v>
      </c>
      <c r="E13" s="16" t="s">
        <v>91</v>
      </c>
      <c r="F13" s="16" t="s">
        <v>101</v>
      </c>
      <c r="G13" s="17" t="s">
        <v>51</v>
      </c>
      <c r="H13" s="17" t="n">
        <v>2</v>
      </c>
      <c r="I13" s="17" t="s">
        <v>37</v>
      </c>
      <c r="J13" s="18"/>
    </row>
    <row r="14" customFormat="false" ht="23.85" hidden="false" customHeight="false" outlineLevel="0" collapsed="false">
      <c r="A14" s="15" t="s">
        <v>102</v>
      </c>
      <c r="B14" s="16" t="s">
        <v>40</v>
      </c>
      <c r="C14" s="16" t="s">
        <v>103</v>
      </c>
      <c r="D14" s="16" t="s">
        <v>90</v>
      </c>
      <c r="E14" s="16" t="s">
        <v>91</v>
      </c>
      <c r="F14" s="16" t="s">
        <v>104</v>
      </c>
      <c r="G14" s="17" t="s">
        <v>52</v>
      </c>
      <c r="H14" s="17" t="n">
        <v>2</v>
      </c>
      <c r="I14" s="17" t="s">
        <v>37</v>
      </c>
      <c r="J14" s="18"/>
    </row>
    <row r="15" customFormat="false" ht="23.85" hidden="false" customHeight="false" outlineLevel="0" collapsed="false">
      <c r="A15" s="15" t="s">
        <v>105</v>
      </c>
      <c r="B15" s="16" t="s">
        <v>40</v>
      </c>
      <c r="C15" s="16" t="s">
        <v>106</v>
      </c>
      <c r="D15" s="16" t="s">
        <v>90</v>
      </c>
      <c r="E15" s="16" t="s">
        <v>91</v>
      </c>
      <c r="F15" s="16" t="s">
        <v>107</v>
      </c>
      <c r="G15" s="17" t="s">
        <v>51</v>
      </c>
      <c r="H15" s="17" t="n">
        <v>3</v>
      </c>
      <c r="I15" s="17" t="s">
        <v>37</v>
      </c>
      <c r="J15" s="18"/>
    </row>
    <row r="16" customFormat="false" ht="23.85" hidden="false" customHeight="false" outlineLevel="0" collapsed="false">
      <c r="A16" s="15" t="s">
        <v>108</v>
      </c>
      <c r="B16" s="16" t="s">
        <v>40</v>
      </c>
      <c r="C16" s="16" t="s">
        <v>109</v>
      </c>
      <c r="D16" s="16" t="s">
        <v>90</v>
      </c>
      <c r="E16" s="16" t="s">
        <v>91</v>
      </c>
      <c r="F16" s="16" t="s">
        <v>110</v>
      </c>
      <c r="G16" s="17" t="s">
        <v>52</v>
      </c>
      <c r="H16" s="17" t="n">
        <v>2</v>
      </c>
      <c r="I16" s="17" t="s">
        <v>37</v>
      </c>
      <c r="J16" s="18"/>
    </row>
    <row r="17" customFormat="false" ht="23.85" hidden="false" customHeight="false" outlineLevel="0" collapsed="false">
      <c r="A17" s="15" t="s">
        <v>111</v>
      </c>
      <c r="B17" s="16" t="s">
        <v>40</v>
      </c>
      <c r="C17" s="16" t="s">
        <v>112</v>
      </c>
      <c r="D17" s="16" t="s">
        <v>113</v>
      </c>
      <c r="E17" s="16" t="s">
        <v>69</v>
      </c>
      <c r="F17" s="16" t="s">
        <v>114</v>
      </c>
      <c r="G17" s="17" t="s">
        <v>53</v>
      </c>
      <c r="H17" s="17" t="n">
        <v>2</v>
      </c>
      <c r="I17" s="17" t="s">
        <v>37</v>
      </c>
      <c r="J17" s="18"/>
    </row>
    <row r="18" customFormat="false" ht="23.85" hidden="false" customHeight="false" outlineLevel="0" collapsed="false">
      <c r="A18" s="15" t="s">
        <v>115</v>
      </c>
      <c r="B18" s="16" t="s">
        <v>41</v>
      </c>
      <c r="C18" s="16" t="s">
        <v>116</v>
      </c>
      <c r="D18" s="16" t="s">
        <v>117</v>
      </c>
      <c r="E18" s="16" t="s">
        <v>86</v>
      </c>
      <c r="F18" s="16" t="s">
        <v>118</v>
      </c>
      <c r="G18" s="17" t="s">
        <v>51</v>
      </c>
      <c r="H18" s="17" t="n">
        <v>2</v>
      </c>
      <c r="I18" s="17" t="s">
        <v>37</v>
      </c>
      <c r="J18" s="18"/>
    </row>
    <row r="19" customFormat="false" ht="15" hidden="false" customHeight="false" outlineLevel="0" collapsed="false">
      <c r="A19" s="15" t="s">
        <v>119</v>
      </c>
      <c r="B19" s="16" t="s">
        <v>41</v>
      </c>
      <c r="C19" s="16" t="s">
        <v>120</v>
      </c>
      <c r="D19" s="16" t="s">
        <v>121</v>
      </c>
      <c r="E19" s="16" t="s">
        <v>91</v>
      </c>
      <c r="F19" s="16" t="s">
        <v>122</v>
      </c>
      <c r="G19" s="17" t="s">
        <v>53</v>
      </c>
      <c r="H19" s="17" t="n">
        <v>2</v>
      </c>
      <c r="I19" s="17" t="s">
        <v>37</v>
      </c>
      <c r="J19" s="18"/>
    </row>
    <row r="20" customFormat="false" ht="23.85" hidden="false" customHeight="false" outlineLevel="0" collapsed="false">
      <c r="A20" s="15" t="s">
        <v>123</v>
      </c>
      <c r="B20" s="16" t="s">
        <v>41</v>
      </c>
      <c r="C20" s="16" t="s">
        <v>124</v>
      </c>
      <c r="D20" s="16" t="s">
        <v>121</v>
      </c>
      <c r="E20" s="16" t="s">
        <v>69</v>
      </c>
      <c r="F20" s="16" t="s">
        <v>125</v>
      </c>
      <c r="G20" s="17" t="s">
        <v>51</v>
      </c>
      <c r="H20" s="17" t="n">
        <v>2</v>
      </c>
      <c r="I20" s="17" t="s">
        <v>37</v>
      </c>
      <c r="J20" s="18"/>
    </row>
    <row r="21" customFormat="false" ht="23.85" hidden="false" customHeight="false" outlineLevel="0" collapsed="false">
      <c r="A21" s="15" t="s">
        <v>126</v>
      </c>
      <c r="B21" s="16" t="s">
        <v>41</v>
      </c>
      <c r="C21" s="16" t="s">
        <v>127</v>
      </c>
      <c r="D21" s="16" t="s">
        <v>128</v>
      </c>
      <c r="E21" s="16" t="s">
        <v>91</v>
      </c>
      <c r="F21" s="16" t="s">
        <v>129</v>
      </c>
      <c r="G21" s="17" t="s">
        <v>52</v>
      </c>
      <c r="H21" s="17" t="n">
        <v>4</v>
      </c>
      <c r="I21" s="17" t="s">
        <v>37</v>
      </c>
      <c r="J21" s="18"/>
    </row>
    <row r="22" customFormat="false" ht="15" hidden="false" customHeight="false" outlineLevel="0" collapsed="false">
      <c r="A22" s="15" t="s">
        <v>130</v>
      </c>
      <c r="B22" s="16" t="s">
        <v>41</v>
      </c>
      <c r="C22" s="16" t="s">
        <v>131</v>
      </c>
      <c r="D22" s="16" t="s">
        <v>128</v>
      </c>
      <c r="E22" s="16" t="s">
        <v>91</v>
      </c>
      <c r="F22" s="16" t="s">
        <v>132</v>
      </c>
      <c r="G22" s="17" t="s">
        <v>52</v>
      </c>
      <c r="H22" s="17" t="n">
        <v>4</v>
      </c>
      <c r="I22" s="17" t="s">
        <v>37</v>
      </c>
      <c r="J22" s="18"/>
    </row>
    <row r="23" customFormat="false" ht="15" hidden="false" customHeight="false" outlineLevel="0" collapsed="false">
      <c r="A23" s="15" t="s">
        <v>133</v>
      </c>
      <c r="B23" s="16" t="s">
        <v>42</v>
      </c>
      <c r="C23" s="16" t="s">
        <v>134</v>
      </c>
      <c r="D23" s="16" t="s">
        <v>135</v>
      </c>
      <c r="E23" s="16" t="s">
        <v>86</v>
      </c>
      <c r="F23" s="16" t="s">
        <v>136</v>
      </c>
      <c r="G23" s="17" t="s">
        <v>51</v>
      </c>
      <c r="H23" s="17" t="n">
        <v>3</v>
      </c>
      <c r="I23" s="17" t="s">
        <v>37</v>
      </c>
      <c r="J23" s="18"/>
    </row>
    <row r="24" customFormat="false" ht="23.85" hidden="false" customHeight="false" outlineLevel="0" collapsed="false">
      <c r="A24" s="15" t="s">
        <v>137</v>
      </c>
      <c r="B24" s="16" t="s">
        <v>42</v>
      </c>
      <c r="C24" s="16" t="s">
        <v>138</v>
      </c>
      <c r="D24" s="16" t="s">
        <v>139</v>
      </c>
      <c r="E24" s="16" t="s">
        <v>69</v>
      </c>
      <c r="F24" s="16" t="s">
        <v>140</v>
      </c>
      <c r="G24" s="17" t="s">
        <v>53</v>
      </c>
      <c r="H24" s="17" t="n">
        <v>3</v>
      </c>
      <c r="I24" s="17" t="s">
        <v>37</v>
      </c>
      <c r="J24" s="18"/>
    </row>
    <row r="25" customFormat="false" ht="15" hidden="false" customHeight="false" outlineLevel="0" collapsed="false">
      <c r="A25" s="15" t="s">
        <v>141</v>
      </c>
      <c r="B25" s="16" t="s">
        <v>42</v>
      </c>
      <c r="C25" s="16" t="s">
        <v>142</v>
      </c>
      <c r="D25" s="16" t="s">
        <v>143</v>
      </c>
      <c r="E25" s="16" t="s">
        <v>91</v>
      </c>
      <c r="F25" s="16" t="s">
        <v>144</v>
      </c>
      <c r="G25" s="17" t="s">
        <v>51</v>
      </c>
      <c r="H25" s="17" t="n">
        <v>3</v>
      </c>
      <c r="I25" s="17" t="s">
        <v>37</v>
      </c>
      <c r="J25" s="18"/>
    </row>
    <row r="26" customFormat="false" ht="15" hidden="false" customHeight="false" outlineLevel="0" collapsed="false">
      <c r="A26" s="15" t="s">
        <v>145</v>
      </c>
      <c r="B26" s="16" t="s">
        <v>42</v>
      </c>
      <c r="C26" s="16" t="s">
        <v>146</v>
      </c>
      <c r="D26" s="16" t="s">
        <v>143</v>
      </c>
      <c r="E26" s="16" t="s">
        <v>91</v>
      </c>
      <c r="F26" s="16" t="s">
        <v>147</v>
      </c>
      <c r="G26" s="17" t="s">
        <v>52</v>
      </c>
      <c r="H26" s="17" t="n">
        <v>4</v>
      </c>
      <c r="I26" s="17" t="s">
        <v>37</v>
      </c>
      <c r="J26" s="18"/>
    </row>
    <row r="27" customFormat="false" ht="15" hidden="false" customHeight="false" outlineLevel="0" collapsed="false">
      <c r="A27" s="15" t="s">
        <v>148</v>
      </c>
      <c r="B27" s="16" t="s">
        <v>42</v>
      </c>
      <c r="C27" s="16" t="s">
        <v>149</v>
      </c>
      <c r="D27" s="16" t="s">
        <v>143</v>
      </c>
      <c r="E27" s="16" t="s">
        <v>91</v>
      </c>
      <c r="F27" s="16" t="s">
        <v>150</v>
      </c>
      <c r="G27" s="17" t="s">
        <v>52</v>
      </c>
      <c r="H27" s="17" t="n">
        <v>4</v>
      </c>
      <c r="I27" s="17" t="s">
        <v>37</v>
      </c>
      <c r="J27" s="18"/>
    </row>
    <row r="28" customFormat="false" ht="15" hidden="false" customHeight="false" outlineLevel="0" collapsed="false">
      <c r="A28" s="15" t="s">
        <v>151</v>
      </c>
      <c r="B28" s="16" t="s">
        <v>42</v>
      </c>
      <c r="C28" s="16" t="s">
        <v>152</v>
      </c>
      <c r="D28" s="16" t="s">
        <v>143</v>
      </c>
      <c r="E28" s="16" t="s">
        <v>91</v>
      </c>
      <c r="F28" s="16" t="s">
        <v>153</v>
      </c>
      <c r="G28" s="17" t="s">
        <v>51</v>
      </c>
      <c r="H28" s="17" t="n">
        <v>5</v>
      </c>
      <c r="I28" s="17" t="s">
        <v>37</v>
      </c>
      <c r="J28" s="18"/>
    </row>
    <row r="29" customFormat="false" ht="23.85" hidden="false" customHeight="false" outlineLevel="0" collapsed="false">
      <c r="A29" s="15" t="s">
        <v>154</v>
      </c>
      <c r="B29" s="16" t="s">
        <v>42</v>
      </c>
      <c r="C29" s="16" t="s">
        <v>155</v>
      </c>
      <c r="D29" s="16" t="s">
        <v>156</v>
      </c>
      <c r="E29" s="16" t="s">
        <v>69</v>
      </c>
      <c r="F29" s="16" t="s">
        <v>157</v>
      </c>
      <c r="G29" s="17" t="s">
        <v>53</v>
      </c>
      <c r="H29" s="17" t="n">
        <v>6</v>
      </c>
      <c r="I29" s="17" t="s">
        <v>37</v>
      </c>
      <c r="J29" s="18"/>
    </row>
    <row r="30" customFormat="false" ht="15" hidden="false" customHeight="false" outlineLevel="0" collapsed="false">
      <c r="A30" s="15" t="s">
        <v>158</v>
      </c>
      <c r="B30" s="16" t="s">
        <v>42</v>
      </c>
      <c r="C30" s="16" t="s">
        <v>159</v>
      </c>
      <c r="D30" s="16" t="s">
        <v>160</v>
      </c>
      <c r="E30" s="16" t="s">
        <v>69</v>
      </c>
      <c r="F30" s="16" t="s">
        <v>161</v>
      </c>
      <c r="G30" s="17" t="s">
        <v>51</v>
      </c>
      <c r="H30" s="17" t="n">
        <v>7</v>
      </c>
      <c r="I30" s="17" t="s">
        <v>37</v>
      </c>
      <c r="J30" s="18"/>
    </row>
    <row r="31" customFormat="false" ht="23.85" hidden="false" customHeight="false" outlineLevel="0" collapsed="false">
      <c r="A31" s="15" t="s">
        <v>162</v>
      </c>
      <c r="B31" s="16" t="s">
        <v>43</v>
      </c>
      <c r="C31" s="16" t="s">
        <v>163</v>
      </c>
      <c r="D31" s="16" t="s">
        <v>164</v>
      </c>
      <c r="E31" s="16" t="s">
        <v>165</v>
      </c>
      <c r="F31" s="16" t="s">
        <v>166</v>
      </c>
      <c r="G31" s="17" t="s">
        <v>51</v>
      </c>
      <c r="H31" s="17" t="n">
        <v>3</v>
      </c>
      <c r="I31" s="17" t="s">
        <v>37</v>
      </c>
      <c r="J31" s="18"/>
    </row>
    <row r="32" customFormat="false" ht="23.85" hidden="false" customHeight="false" outlineLevel="0" collapsed="false">
      <c r="A32" s="15" t="s">
        <v>167</v>
      </c>
      <c r="B32" s="16" t="s">
        <v>43</v>
      </c>
      <c r="C32" s="16" t="s">
        <v>168</v>
      </c>
      <c r="D32" s="16" t="s">
        <v>164</v>
      </c>
      <c r="E32" s="16" t="s">
        <v>165</v>
      </c>
      <c r="F32" s="16" t="s">
        <v>169</v>
      </c>
      <c r="G32" s="17" t="s">
        <v>51</v>
      </c>
      <c r="H32" s="17" t="n">
        <v>3</v>
      </c>
      <c r="I32" s="17" t="s">
        <v>37</v>
      </c>
      <c r="J32" s="18"/>
    </row>
    <row r="33" customFormat="false" ht="23.85" hidden="false" customHeight="false" outlineLevel="0" collapsed="false">
      <c r="A33" s="15" t="s">
        <v>170</v>
      </c>
      <c r="B33" s="16" t="s">
        <v>43</v>
      </c>
      <c r="C33" s="16" t="s">
        <v>171</v>
      </c>
      <c r="D33" s="16" t="s">
        <v>164</v>
      </c>
      <c r="E33" s="16" t="s">
        <v>165</v>
      </c>
      <c r="F33" s="16" t="s">
        <v>172</v>
      </c>
      <c r="G33" s="17" t="s">
        <v>51</v>
      </c>
      <c r="H33" s="17" t="n">
        <v>4</v>
      </c>
      <c r="I33" s="17" t="s">
        <v>37</v>
      </c>
      <c r="J33" s="18"/>
    </row>
    <row r="34" customFormat="false" ht="23.85" hidden="false" customHeight="false" outlineLevel="0" collapsed="false">
      <c r="A34" s="15" t="s">
        <v>173</v>
      </c>
      <c r="B34" s="16" t="s">
        <v>43</v>
      </c>
      <c r="C34" s="16" t="s">
        <v>174</v>
      </c>
      <c r="D34" s="16" t="s">
        <v>164</v>
      </c>
      <c r="E34" s="16" t="s">
        <v>165</v>
      </c>
      <c r="F34" s="16" t="s">
        <v>175</v>
      </c>
      <c r="G34" s="17" t="s">
        <v>51</v>
      </c>
      <c r="H34" s="17" t="n">
        <v>5</v>
      </c>
      <c r="I34" s="17" t="s">
        <v>37</v>
      </c>
      <c r="J34" s="18"/>
    </row>
    <row r="35" customFormat="false" ht="23.85" hidden="false" customHeight="false" outlineLevel="0" collapsed="false">
      <c r="A35" s="15" t="s">
        <v>176</v>
      </c>
      <c r="B35" s="16" t="s">
        <v>43</v>
      </c>
      <c r="C35" s="16" t="s">
        <v>177</v>
      </c>
      <c r="D35" s="16" t="s">
        <v>164</v>
      </c>
      <c r="E35" s="16" t="s">
        <v>165</v>
      </c>
      <c r="F35" s="16" t="s">
        <v>178</v>
      </c>
      <c r="G35" s="17" t="s">
        <v>52</v>
      </c>
      <c r="H35" s="17" t="n">
        <v>5</v>
      </c>
      <c r="I35" s="17" t="s">
        <v>37</v>
      </c>
      <c r="J35" s="18"/>
    </row>
    <row r="36" customFormat="false" ht="23.85" hidden="false" customHeight="false" outlineLevel="0" collapsed="false">
      <c r="A36" s="15" t="s">
        <v>179</v>
      </c>
      <c r="B36" s="16" t="s">
        <v>43</v>
      </c>
      <c r="C36" s="16" t="s">
        <v>180</v>
      </c>
      <c r="D36" s="16" t="s">
        <v>164</v>
      </c>
      <c r="E36" s="16" t="s">
        <v>165</v>
      </c>
      <c r="F36" s="16" t="s">
        <v>181</v>
      </c>
      <c r="G36" s="17" t="s">
        <v>51</v>
      </c>
      <c r="H36" s="17" t="n">
        <v>6</v>
      </c>
      <c r="I36" s="17" t="s">
        <v>37</v>
      </c>
      <c r="J36" s="18"/>
    </row>
    <row r="37" customFormat="false" ht="15" hidden="false" customHeight="false" outlineLevel="0" collapsed="false">
      <c r="A37" s="15" t="s">
        <v>182</v>
      </c>
      <c r="B37" s="16" t="s">
        <v>43</v>
      </c>
      <c r="C37" s="16" t="s">
        <v>183</v>
      </c>
      <c r="D37" s="16" t="s">
        <v>184</v>
      </c>
      <c r="E37" s="16" t="s">
        <v>69</v>
      </c>
      <c r="F37" s="16" t="s">
        <v>185</v>
      </c>
      <c r="G37" s="17" t="s">
        <v>53</v>
      </c>
      <c r="H37" s="17" t="n">
        <v>7</v>
      </c>
      <c r="I37" s="17" t="s">
        <v>37</v>
      </c>
      <c r="J37" s="18"/>
    </row>
    <row r="38" customFormat="false" ht="23.85" hidden="false" customHeight="false" outlineLevel="0" collapsed="false">
      <c r="A38" s="15" t="s">
        <v>186</v>
      </c>
      <c r="B38" s="16" t="s">
        <v>43</v>
      </c>
      <c r="C38" s="16" t="s">
        <v>187</v>
      </c>
      <c r="D38" s="16" t="s">
        <v>188</v>
      </c>
      <c r="E38" s="16" t="s">
        <v>69</v>
      </c>
      <c r="F38" s="16" t="s">
        <v>189</v>
      </c>
      <c r="G38" s="17" t="s">
        <v>53</v>
      </c>
      <c r="H38" s="17" t="n">
        <v>7</v>
      </c>
      <c r="I38" s="17" t="s">
        <v>37</v>
      </c>
      <c r="J38" s="18"/>
    </row>
    <row r="39" customFormat="false" ht="23.85" hidden="false" customHeight="false" outlineLevel="0" collapsed="false">
      <c r="A39" s="15" t="s">
        <v>190</v>
      </c>
      <c r="B39" s="16" t="s">
        <v>44</v>
      </c>
      <c r="C39" s="16" t="s">
        <v>191</v>
      </c>
      <c r="D39" s="16" t="s">
        <v>192</v>
      </c>
      <c r="E39" s="16" t="s">
        <v>193</v>
      </c>
      <c r="F39" s="16" t="s">
        <v>194</v>
      </c>
      <c r="G39" s="17" t="s">
        <v>51</v>
      </c>
      <c r="H39" s="17" t="n">
        <v>6</v>
      </c>
      <c r="I39" s="17" t="s">
        <v>37</v>
      </c>
      <c r="J39" s="18"/>
    </row>
    <row r="40" customFormat="false" ht="23.85" hidden="false" customHeight="false" outlineLevel="0" collapsed="false">
      <c r="A40" s="15" t="s">
        <v>195</v>
      </c>
      <c r="B40" s="16" t="s">
        <v>44</v>
      </c>
      <c r="C40" s="16" t="s">
        <v>196</v>
      </c>
      <c r="D40" s="16" t="s">
        <v>192</v>
      </c>
      <c r="E40" s="16" t="s">
        <v>193</v>
      </c>
      <c r="F40" s="16" t="s">
        <v>194</v>
      </c>
      <c r="G40" s="17" t="s">
        <v>51</v>
      </c>
      <c r="H40" s="17" t="n">
        <v>6</v>
      </c>
      <c r="I40" s="17" t="s">
        <v>37</v>
      </c>
      <c r="J40" s="18"/>
    </row>
    <row r="41" customFormat="false" ht="23.85" hidden="false" customHeight="false" outlineLevel="0" collapsed="false">
      <c r="A41" s="15" t="s">
        <v>197</v>
      </c>
      <c r="B41" s="16" t="s">
        <v>44</v>
      </c>
      <c r="C41" s="16" t="s">
        <v>198</v>
      </c>
      <c r="D41" s="16" t="s">
        <v>192</v>
      </c>
      <c r="E41" s="16" t="s">
        <v>193</v>
      </c>
      <c r="F41" s="16" t="s">
        <v>194</v>
      </c>
      <c r="G41" s="17" t="s">
        <v>52</v>
      </c>
      <c r="H41" s="17" t="n">
        <v>6</v>
      </c>
      <c r="I41" s="17" t="s">
        <v>37</v>
      </c>
      <c r="J41" s="18"/>
    </row>
    <row r="42" customFormat="false" ht="23.85" hidden="false" customHeight="false" outlineLevel="0" collapsed="false">
      <c r="A42" s="15" t="s">
        <v>199</v>
      </c>
      <c r="B42" s="16" t="s">
        <v>44</v>
      </c>
      <c r="C42" s="16" t="s">
        <v>200</v>
      </c>
      <c r="D42" s="16" t="s">
        <v>192</v>
      </c>
      <c r="E42" s="16" t="s">
        <v>193</v>
      </c>
      <c r="F42" s="16" t="s">
        <v>194</v>
      </c>
      <c r="G42" s="17" t="s">
        <v>52</v>
      </c>
      <c r="H42" s="17" t="n">
        <v>6</v>
      </c>
      <c r="I42" s="17" t="s">
        <v>37</v>
      </c>
      <c r="J42" s="18"/>
    </row>
    <row r="43" customFormat="false" ht="23.85" hidden="false" customHeight="false" outlineLevel="0" collapsed="false">
      <c r="A43" s="15" t="s">
        <v>201</v>
      </c>
      <c r="B43" s="16" t="s">
        <v>44</v>
      </c>
      <c r="C43" s="16" t="s">
        <v>202</v>
      </c>
      <c r="D43" s="16" t="s">
        <v>192</v>
      </c>
      <c r="E43" s="16" t="s">
        <v>193</v>
      </c>
      <c r="F43" s="16" t="s">
        <v>194</v>
      </c>
      <c r="G43" s="17" t="s">
        <v>52</v>
      </c>
      <c r="H43" s="17" t="n">
        <v>6</v>
      </c>
      <c r="I43" s="17" t="s">
        <v>37</v>
      </c>
      <c r="J43" s="18"/>
    </row>
    <row r="44" customFormat="false" ht="23.85" hidden="false" customHeight="false" outlineLevel="0" collapsed="false">
      <c r="A44" s="15" t="s">
        <v>203</v>
      </c>
      <c r="B44" s="16" t="s">
        <v>44</v>
      </c>
      <c r="C44" s="16" t="s">
        <v>204</v>
      </c>
      <c r="D44" s="16" t="s">
        <v>192</v>
      </c>
      <c r="E44" s="16" t="s">
        <v>193</v>
      </c>
      <c r="F44" s="16" t="s">
        <v>194</v>
      </c>
      <c r="G44" s="17" t="s">
        <v>51</v>
      </c>
      <c r="H44" s="17" t="n">
        <v>6</v>
      </c>
      <c r="I44" s="17" t="s">
        <v>37</v>
      </c>
      <c r="J44" s="18"/>
    </row>
    <row r="45" customFormat="false" ht="23.85" hidden="false" customHeight="false" outlineLevel="0" collapsed="false">
      <c r="A45" s="15" t="s">
        <v>205</v>
      </c>
      <c r="B45" s="16" t="s">
        <v>44</v>
      </c>
      <c r="C45" s="16" t="s">
        <v>206</v>
      </c>
      <c r="D45" s="16" t="s">
        <v>207</v>
      </c>
      <c r="E45" s="16" t="s">
        <v>193</v>
      </c>
      <c r="F45" s="16" t="s">
        <v>208</v>
      </c>
      <c r="G45" s="17" t="s">
        <v>53</v>
      </c>
      <c r="H45" s="17" t="n">
        <v>7</v>
      </c>
      <c r="I45" s="17" t="s">
        <v>37</v>
      </c>
      <c r="J45" s="18"/>
    </row>
    <row r="46" customFormat="false" ht="23.85" hidden="false" customHeight="false" outlineLevel="0" collapsed="false">
      <c r="A46" s="15" t="s">
        <v>209</v>
      </c>
      <c r="B46" s="16" t="s">
        <v>44</v>
      </c>
      <c r="C46" s="16" t="s">
        <v>210</v>
      </c>
      <c r="D46" s="16" t="s">
        <v>207</v>
      </c>
      <c r="E46" s="16" t="s">
        <v>193</v>
      </c>
      <c r="F46" s="16" t="s">
        <v>211</v>
      </c>
      <c r="G46" s="17" t="s">
        <v>53</v>
      </c>
      <c r="H46" s="17" t="n">
        <v>7</v>
      </c>
      <c r="I46" s="17" t="s">
        <v>37</v>
      </c>
      <c r="J46" s="18"/>
    </row>
    <row r="47" customFormat="false" ht="15" hidden="false" customHeight="false" outlineLevel="0" collapsed="false">
      <c r="A47" s="15" t="s">
        <v>212</v>
      </c>
      <c r="B47" s="16" t="s">
        <v>45</v>
      </c>
      <c r="C47" s="16" t="s">
        <v>213</v>
      </c>
      <c r="D47" s="16" t="s">
        <v>214</v>
      </c>
      <c r="E47" s="16" t="s">
        <v>215</v>
      </c>
      <c r="F47" s="16" t="s">
        <v>216</v>
      </c>
      <c r="G47" s="17" t="s">
        <v>52</v>
      </c>
      <c r="H47" s="17" t="n">
        <v>6</v>
      </c>
      <c r="I47" s="17" t="s">
        <v>37</v>
      </c>
      <c r="J47" s="18"/>
    </row>
    <row r="48" customFormat="false" ht="23.85" hidden="false" customHeight="false" outlineLevel="0" collapsed="false">
      <c r="A48" s="15" t="s">
        <v>217</v>
      </c>
      <c r="B48" s="16" t="s">
        <v>45</v>
      </c>
      <c r="C48" s="16" t="s">
        <v>218</v>
      </c>
      <c r="D48" s="16" t="s">
        <v>214</v>
      </c>
      <c r="E48" s="16" t="s">
        <v>215</v>
      </c>
      <c r="F48" s="16" t="s">
        <v>219</v>
      </c>
      <c r="G48" s="17" t="s">
        <v>52</v>
      </c>
      <c r="H48" s="17" t="n">
        <v>5</v>
      </c>
      <c r="I48" s="17" t="s">
        <v>37</v>
      </c>
      <c r="J48" s="18"/>
    </row>
    <row r="49" customFormat="false" ht="23.85" hidden="false" customHeight="false" outlineLevel="0" collapsed="false">
      <c r="A49" s="15" t="s">
        <v>220</v>
      </c>
      <c r="B49" s="16" t="s">
        <v>45</v>
      </c>
      <c r="C49" s="16" t="s">
        <v>221</v>
      </c>
      <c r="D49" s="16" t="s">
        <v>214</v>
      </c>
      <c r="E49" s="16" t="s">
        <v>215</v>
      </c>
      <c r="F49" s="16" t="s">
        <v>222</v>
      </c>
      <c r="G49" s="17" t="s">
        <v>52</v>
      </c>
      <c r="H49" s="17" t="n">
        <v>6</v>
      </c>
      <c r="I49" s="17" t="s">
        <v>37</v>
      </c>
      <c r="J49" s="18"/>
    </row>
    <row r="50" customFormat="false" ht="15" hidden="false" customHeight="false" outlineLevel="0" collapsed="false">
      <c r="A50" s="15" t="s">
        <v>223</v>
      </c>
      <c r="B50" s="16" t="s">
        <v>45</v>
      </c>
      <c r="C50" s="16" t="s">
        <v>224</v>
      </c>
      <c r="D50" s="16" t="s">
        <v>225</v>
      </c>
      <c r="E50" s="16" t="s">
        <v>215</v>
      </c>
      <c r="F50" s="16" t="s">
        <v>226</v>
      </c>
      <c r="G50" s="17" t="s">
        <v>53</v>
      </c>
      <c r="H50" s="17" t="n">
        <v>6</v>
      </c>
      <c r="I50" s="17" t="s">
        <v>37</v>
      </c>
      <c r="J50" s="18"/>
    </row>
    <row r="51" customFormat="false" ht="23.85" hidden="false" customHeight="false" outlineLevel="0" collapsed="false">
      <c r="A51" s="15" t="s">
        <v>227</v>
      </c>
      <c r="B51" s="16" t="s">
        <v>46</v>
      </c>
      <c r="C51" s="16" t="s">
        <v>228</v>
      </c>
      <c r="D51" s="16" t="s">
        <v>229</v>
      </c>
      <c r="E51" s="16" t="s">
        <v>230</v>
      </c>
      <c r="F51" s="16" t="s">
        <v>231</v>
      </c>
      <c r="G51" s="17" t="s">
        <v>53</v>
      </c>
      <c r="H51" s="17" t="n">
        <v>1</v>
      </c>
      <c r="I51" s="17" t="s">
        <v>37</v>
      </c>
      <c r="J51" s="18"/>
    </row>
    <row r="52" customFormat="false" ht="23.85" hidden="false" customHeight="false" outlineLevel="0" collapsed="false">
      <c r="A52" s="15" t="s">
        <v>232</v>
      </c>
      <c r="B52" s="16" t="s">
        <v>46</v>
      </c>
      <c r="C52" s="16" t="s">
        <v>233</v>
      </c>
      <c r="D52" s="16" t="s">
        <v>229</v>
      </c>
      <c r="E52" s="16" t="s">
        <v>230</v>
      </c>
      <c r="F52" s="16" t="s">
        <v>234</v>
      </c>
      <c r="G52" s="17" t="s">
        <v>53</v>
      </c>
      <c r="H52" s="17" t="n">
        <v>7</v>
      </c>
      <c r="I52" s="17" t="s">
        <v>37</v>
      </c>
      <c r="J52" s="18"/>
    </row>
    <row r="53" customFormat="false" ht="23.85" hidden="false" customHeight="false" outlineLevel="0" collapsed="false">
      <c r="A53" s="15" t="s">
        <v>235</v>
      </c>
      <c r="B53" s="16" t="s">
        <v>47</v>
      </c>
      <c r="C53" s="16" t="s">
        <v>236</v>
      </c>
      <c r="D53" s="16" t="s">
        <v>237</v>
      </c>
      <c r="E53" s="16" t="s">
        <v>238</v>
      </c>
      <c r="F53" s="16" t="s">
        <v>239</v>
      </c>
      <c r="G53" s="17" t="s">
        <v>53</v>
      </c>
      <c r="H53" s="17" t="n">
        <v>8</v>
      </c>
      <c r="I53" s="17" t="s">
        <v>37</v>
      </c>
      <c r="J53" s="18"/>
    </row>
    <row r="54" customFormat="false" ht="15" hidden="false" customHeight="false" outlineLevel="0" collapsed="false">
      <c r="A54" s="15" t="s">
        <v>240</v>
      </c>
      <c r="B54" s="16" t="s">
        <v>47</v>
      </c>
      <c r="C54" s="16" t="s">
        <v>241</v>
      </c>
      <c r="D54" s="16" t="s">
        <v>237</v>
      </c>
      <c r="E54" s="16" t="s">
        <v>238</v>
      </c>
      <c r="F54" s="16" t="s">
        <v>242</v>
      </c>
      <c r="G54" s="17" t="s">
        <v>53</v>
      </c>
      <c r="H54" s="17" t="n">
        <v>8</v>
      </c>
      <c r="I54" s="17" t="s">
        <v>37</v>
      </c>
      <c r="J54" s="18"/>
    </row>
    <row r="55" customFormat="false" ht="23.85" hidden="false" customHeight="false" outlineLevel="0" collapsed="false">
      <c r="A55" s="15" t="s">
        <v>243</v>
      </c>
      <c r="B55" s="16" t="s">
        <v>47</v>
      </c>
      <c r="C55" s="16" t="s">
        <v>244</v>
      </c>
      <c r="D55" s="16" t="s">
        <v>245</v>
      </c>
      <c r="E55" s="16" t="s">
        <v>238</v>
      </c>
      <c r="F55" s="16" t="s">
        <v>246</v>
      </c>
      <c r="G55" s="17" t="s">
        <v>53</v>
      </c>
      <c r="H55" s="17" t="n">
        <v>7</v>
      </c>
      <c r="I55" s="17" t="s">
        <v>37</v>
      </c>
      <c r="J55" s="18"/>
    </row>
    <row r="56" customFormat="false" ht="23.85" hidden="false" customHeight="false" outlineLevel="0" collapsed="false">
      <c r="A56" s="15" t="s">
        <v>247</v>
      </c>
      <c r="B56" s="16" t="s">
        <v>47</v>
      </c>
      <c r="C56" s="16" t="s">
        <v>248</v>
      </c>
      <c r="D56" s="16" t="s">
        <v>249</v>
      </c>
      <c r="E56" s="16" t="s">
        <v>238</v>
      </c>
      <c r="F56" s="16" t="s">
        <v>250</v>
      </c>
      <c r="G56" s="17" t="s">
        <v>53</v>
      </c>
      <c r="H56" s="17" t="n">
        <v>8</v>
      </c>
      <c r="I56" s="17" t="s">
        <v>37</v>
      </c>
      <c r="J56" s="18"/>
    </row>
    <row r="57" customFormat="false" ht="23.85" hidden="false" customHeight="false" outlineLevel="0" collapsed="false">
      <c r="A57" s="15" t="s">
        <v>251</v>
      </c>
      <c r="B57" s="16" t="s">
        <v>47</v>
      </c>
      <c r="C57" s="16" t="s">
        <v>252</v>
      </c>
      <c r="D57" s="16" t="s">
        <v>238</v>
      </c>
      <c r="E57" s="16" t="s">
        <v>238</v>
      </c>
      <c r="F57" s="16" t="s">
        <v>253</v>
      </c>
      <c r="G57" s="17" t="s">
        <v>53</v>
      </c>
      <c r="H57" s="17" t="n">
        <v>8</v>
      </c>
      <c r="I57" s="17" t="s">
        <v>37</v>
      </c>
      <c r="J57" s="18"/>
    </row>
    <row r="58" customFormat="false" ht="15" hidden="false" customHeight="false" outlineLevel="0" collapsed="false">
      <c r="A58" s="15" t="s">
        <v>254</v>
      </c>
      <c r="B58" s="16" t="s">
        <v>47</v>
      </c>
      <c r="C58" s="16" t="s">
        <v>255</v>
      </c>
      <c r="D58" s="16" t="s">
        <v>256</v>
      </c>
      <c r="E58" s="16" t="s">
        <v>238</v>
      </c>
      <c r="F58" s="16" t="s">
        <v>257</v>
      </c>
      <c r="G58" s="17" t="s">
        <v>53</v>
      </c>
      <c r="H58" s="17" t="n">
        <v>8</v>
      </c>
      <c r="I58" s="17" t="s">
        <v>37</v>
      </c>
      <c r="J58" s="18"/>
    </row>
  </sheetData>
  <autoFilter ref="A4:J58"/>
  <conditionalFormatting sqref="I5:I200">
    <cfRule type="cellIs" priority="2" operator="equal" aboveAverage="0" equalAverage="0" bottom="0" percent="0" rank="0" text="" dxfId="0">
      <formula>"Hoàn thành"</formula>
    </cfRule>
    <cfRule type="cellIs" priority="3" operator="equal" aboveAverage="0" equalAverage="0" bottom="0" percent="0" rank="0" text="" dxfId="7">
      <formula>"Đang làm"</formula>
    </cfRule>
    <cfRule type="cellIs" priority="4" operator="equal" aboveAverage="0" equalAverage="0" bottom="0" percent="0" rank="0" text="" dxfId="1">
      <formula>"Cần xem lại"</formula>
    </cfRule>
  </conditionalFormatting>
  <dataValidations count="3">
    <dataValidation allowBlank="true" errorStyle="stop" operator="between" showDropDown="false" showErrorMessage="false" showInputMessage="false" sqref="G5:G200" type="list">
      <formula1>"A,B,Cả hai"</formula1>
      <formula2>0</formula2>
    </dataValidation>
    <dataValidation allowBlank="true" errorStyle="stop" operator="between" showDropDown="false" showErrorMessage="false" showInputMessage="false" sqref="H5:H200" type="whole">
      <formula1>1</formula1>
      <formula2>8</formula2>
    </dataValidation>
    <dataValidation allowBlank="false" errorStyle="stop" operator="between" showDropDown="false" showErrorMessage="false" showInputMessage="false" sqref="I5:I200" type="list">
      <formula1>"Chưa làm,Đang làm,Hoàn thành,Cần xem lại"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2026-10-07T03:20:17Z</dcterms:created>
  <dc:creator>openpyxl</dc:creator>
  <dc:description/>
  <dc:language>en-US</dc:language>
  <cp:lastModifiedBy/>
  <dcterms:modified xsi:type="dcterms:W3CDTF">2026-10-07T03:20:17Z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